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printerSettings/printerSettings1.bin" ContentType="application/vnd.openxmlformats-officedocument.spreadsheetml.printerSettings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7394c1b5fef48e5/Desktop/PCA_components_matrix_extraction/"/>
    </mc:Choice>
  </mc:AlternateContent>
  <xr:revisionPtr revIDLastSave="1" documentId="13_ncr:1_{36EC7545-982A-401F-9382-F7C291D1238E}" xr6:coauthVersionLast="47" xr6:coauthVersionMax="47" xr10:uidLastSave="{69FDD156-04ED-4A21-9BA6-56D80806A139}"/>
  <bookViews>
    <workbookView xWindow="28690" yWindow="-3630" windowWidth="38620" windowHeight="21100" xr2:uid="{00000000-000D-0000-FFFF-FFFF00000000}"/>
  </bookViews>
  <sheets>
    <sheet name="Лист 1" sheetId="1" r:id="rId1"/>
    <sheet name="Лист 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31" i="1" l="1"/>
  <c r="Z32" i="1"/>
  <c r="Z45" i="1"/>
  <c r="Z46" i="1"/>
  <c r="Z59" i="1"/>
  <c r="Z60" i="1"/>
  <c r="Z69" i="1"/>
  <c r="Z70" i="1"/>
  <c r="Z3" i="1"/>
  <c r="Y25" i="1"/>
  <c r="Z25" i="1" s="1"/>
  <c r="Y26" i="1"/>
  <c r="Z26" i="1" s="1"/>
  <c r="Y27" i="1"/>
  <c r="Z27" i="1" s="1"/>
  <c r="Y28" i="1"/>
  <c r="Z28" i="1" s="1"/>
  <c r="Y29" i="1"/>
  <c r="Z29" i="1" s="1"/>
  <c r="Y30" i="1"/>
  <c r="Z30" i="1" s="1"/>
  <c r="Y31" i="1"/>
  <c r="Y32" i="1"/>
  <c r="Y33" i="1"/>
  <c r="Z33" i="1" s="1"/>
  <c r="Y34" i="1"/>
  <c r="Z34" i="1" s="1"/>
  <c r="Y35" i="1"/>
  <c r="Z35" i="1" s="1"/>
  <c r="Y36" i="1"/>
  <c r="Z36" i="1" s="1"/>
  <c r="Y37" i="1"/>
  <c r="Z37" i="1" s="1"/>
  <c r="Y38" i="1"/>
  <c r="Z38" i="1" s="1"/>
  <c r="Y39" i="1"/>
  <c r="Z39" i="1" s="1"/>
  <c r="Y40" i="1"/>
  <c r="Z40" i="1" s="1"/>
  <c r="Y41" i="1"/>
  <c r="Z41" i="1" s="1"/>
  <c r="Y42" i="1"/>
  <c r="Z42" i="1" s="1"/>
  <c r="Y43" i="1"/>
  <c r="Z43" i="1" s="1"/>
  <c r="Y44" i="1"/>
  <c r="Z44" i="1" s="1"/>
  <c r="Y45" i="1"/>
  <c r="Y46" i="1"/>
  <c r="Y47" i="1"/>
  <c r="Z47" i="1" s="1"/>
  <c r="Y48" i="1"/>
  <c r="Z48" i="1" s="1"/>
  <c r="Y49" i="1"/>
  <c r="Z49" i="1" s="1"/>
  <c r="Y50" i="1"/>
  <c r="Z50" i="1" s="1"/>
  <c r="Y51" i="1"/>
  <c r="Z51" i="1" s="1"/>
  <c r="Y52" i="1"/>
  <c r="Z52" i="1" s="1"/>
  <c r="Y53" i="1"/>
  <c r="Z53" i="1" s="1"/>
  <c r="Y54" i="1"/>
  <c r="Z54" i="1" s="1"/>
  <c r="Y55" i="1"/>
  <c r="Z55" i="1" s="1"/>
  <c r="Y56" i="1"/>
  <c r="Z56" i="1" s="1"/>
  <c r="Y57" i="1"/>
  <c r="Z57" i="1" s="1"/>
  <c r="Y58" i="1"/>
  <c r="Z58" i="1" s="1"/>
  <c r="Y59" i="1"/>
  <c r="Y60" i="1"/>
  <c r="Y61" i="1"/>
  <c r="Z61" i="1" s="1"/>
  <c r="Y62" i="1"/>
  <c r="Z62" i="1" s="1"/>
  <c r="Y63" i="1"/>
  <c r="Z63" i="1" s="1"/>
  <c r="Y64" i="1"/>
  <c r="Z64" i="1" s="1"/>
  <c r="Y65" i="1"/>
  <c r="Z65" i="1" s="1"/>
  <c r="Y66" i="1"/>
  <c r="Z66" i="1" s="1"/>
  <c r="Y67" i="1"/>
  <c r="Z67" i="1" s="1"/>
  <c r="Y68" i="1"/>
  <c r="Z68" i="1" s="1"/>
  <c r="Y69" i="1"/>
  <c r="Y70" i="1"/>
  <c r="Y71" i="1"/>
  <c r="Z71" i="1" s="1"/>
  <c r="Y72" i="1"/>
  <c r="Z72" i="1" s="1"/>
  <c r="Y73" i="1"/>
  <c r="Z73" i="1" s="1"/>
  <c r="Y74" i="1"/>
  <c r="Z74" i="1" s="1"/>
  <c r="Y75" i="1"/>
  <c r="Z75" i="1" s="1"/>
  <c r="Y76" i="1"/>
  <c r="Z76" i="1" s="1"/>
  <c r="Y77" i="1"/>
  <c r="Z77" i="1" s="1"/>
  <c r="Y78" i="1"/>
  <c r="Z78" i="1" s="1"/>
  <c r="Y79" i="1"/>
  <c r="Z79" i="1" s="1"/>
  <c r="Y80" i="1"/>
  <c r="Z80" i="1" s="1"/>
  <c r="Y81" i="1"/>
  <c r="Z81" i="1" s="1"/>
  <c r="Y82" i="1"/>
  <c r="Z82" i="1" s="1"/>
  <c r="Y83" i="1"/>
  <c r="Z83" i="1" s="1"/>
  <c r="Y84" i="1"/>
  <c r="Z84" i="1" s="1"/>
  <c r="Y85" i="1"/>
  <c r="Z85" i="1" s="1"/>
  <c r="Y4" i="1"/>
  <c r="Z4" i="1" s="1"/>
  <c r="Y5" i="1"/>
  <c r="Z5" i="1" s="1"/>
  <c r="Y6" i="1"/>
  <c r="Z6" i="1" s="1"/>
  <c r="Y7" i="1"/>
  <c r="Z7" i="1" s="1"/>
  <c r="Y8" i="1"/>
  <c r="Z8" i="1" s="1"/>
  <c r="Y9" i="1"/>
  <c r="Z9" i="1" s="1"/>
  <c r="Y10" i="1"/>
  <c r="Z10" i="1" s="1"/>
  <c r="Y11" i="1"/>
  <c r="Z11" i="1" s="1"/>
  <c r="Y12" i="1"/>
  <c r="Z12" i="1" s="1"/>
  <c r="Y13" i="1"/>
  <c r="Z13" i="1" s="1"/>
  <c r="Y14" i="1"/>
  <c r="Z14" i="1" s="1"/>
  <c r="Y15" i="1"/>
  <c r="Z15" i="1" s="1"/>
  <c r="Y16" i="1"/>
  <c r="Z16" i="1" s="1"/>
  <c r="Y17" i="1"/>
  <c r="Z17" i="1" s="1"/>
  <c r="Y18" i="1"/>
  <c r="Z18" i="1" s="1"/>
  <c r="Y19" i="1"/>
  <c r="Z19" i="1" s="1"/>
  <c r="Y20" i="1"/>
  <c r="Z20" i="1" s="1"/>
  <c r="Y21" i="1"/>
  <c r="Z21" i="1" s="1"/>
  <c r="Y22" i="1"/>
  <c r="Z22" i="1" s="1"/>
  <c r="Y23" i="1"/>
  <c r="Z23" i="1" s="1"/>
  <c r="Y24" i="1"/>
  <c r="Z24" i="1" s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X53" i="1"/>
  <c r="X54" i="1"/>
  <c r="X55" i="1"/>
  <c r="X56" i="1"/>
  <c r="X57" i="1"/>
  <c r="X58" i="1"/>
  <c r="X59" i="1"/>
  <c r="X60" i="1"/>
  <c r="X61" i="1"/>
  <c r="X62" i="1"/>
  <c r="X63" i="1"/>
  <c r="X64" i="1"/>
  <c r="X65" i="1"/>
  <c r="X66" i="1"/>
  <c r="X67" i="1"/>
  <c r="X68" i="1"/>
  <c r="X69" i="1"/>
  <c r="X70" i="1"/>
  <c r="X71" i="1"/>
  <c r="X72" i="1"/>
  <c r="X73" i="1"/>
  <c r="X74" i="1"/>
  <c r="X75" i="1"/>
  <c r="X76" i="1"/>
  <c r="X77" i="1"/>
  <c r="X78" i="1"/>
  <c r="X79" i="1"/>
  <c r="X80" i="1"/>
  <c r="X81" i="1"/>
  <c r="X82" i="1"/>
  <c r="X83" i="1"/>
  <c r="X84" i="1"/>
  <c r="X85" i="1"/>
  <c r="X3" i="1"/>
  <c r="V4" i="1"/>
  <c r="V5" i="1"/>
  <c r="W8" i="1"/>
  <c r="V10" i="1"/>
  <c r="W10" i="1"/>
  <c r="V11" i="1"/>
  <c r="V19" i="1"/>
  <c r="W22" i="1"/>
  <c r="V24" i="1"/>
  <c r="W24" i="1"/>
  <c r="V25" i="1"/>
  <c r="W25" i="1"/>
  <c r="V26" i="1"/>
  <c r="W26" i="1"/>
  <c r="V33" i="1"/>
  <c r="W33" i="1"/>
  <c r="V38" i="1"/>
  <c r="W38" i="1"/>
  <c r="V39" i="1"/>
  <c r="W39" i="1"/>
  <c r="V40" i="1"/>
  <c r="W40" i="1"/>
  <c r="W45" i="1"/>
  <c r="W53" i="1"/>
  <c r="V54" i="1"/>
  <c r="W54" i="1"/>
  <c r="V75" i="1"/>
  <c r="W75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3" i="1"/>
  <c r="S83" i="1"/>
  <c r="V83" i="1" s="1"/>
  <c r="S84" i="1"/>
  <c r="V84" i="1" s="1"/>
  <c r="S85" i="1"/>
  <c r="V85" i="1" s="1"/>
  <c r="T27" i="1"/>
  <c r="W27" i="1" s="1"/>
  <c r="T28" i="1"/>
  <c r="W28" i="1" s="1"/>
  <c r="T29" i="1"/>
  <c r="W29" i="1" s="1"/>
  <c r="T30" i="1"/>
  <c r="W30" i="1" s="1"/>
  <c r="T31" i="1"/>
  <c r="W31" i="1" s="1"/>
  <c r="T32" i="1"/>
  <c r="W32" i="1" s="1"/>
  <c r="T33" i="1"/>
  <c r="T34" i="1"/>
  <c r="W34" i="1" s="1"/>
  <c r="T35" i="1"/>
  <c r="W35" i="1" s="1"/>
  <c r="T36" i="1"/>
  <c r="W36" i="1" s="1"/>
  <c r="T37" i="1"/>
  <c r="W37" i="1" s="1"/>
  <c r="T38" i="1"/>
  <c r="T39" i="1"/>
  <c r="T40" i="1"/>
  <c r="T41" i="1"/>
  <c r="W41" i="1" s="1"/>
  <c r="T42" i="1"/>
  <c r="W42" i="1" s="1"/>
  <c r="T43" i="1"/>
  <c r="W43" i="1" s="1"/>
  <c r="T44" i="1"/>
  <c r="W44" i="1" s="1"/>
  <c r="T45" i="1"/>
  <c r="T46" i="1"/>
  <c r="W46" i="1" s="1"/>
  <c r="T47" i="1"/>
  <c r="W47" i="1" s="1"/>
  <c r="T48" i="1"/>
  <c r="W48" i="1" s="1"/>
  <c r="T49" i="1"/>
  <c r="W49" i="1" s="1"/>
  <c r="T50" i="1"/>
  <c r="W50" i="1" s="1"/>
  <c r="T51" i="1"/>
  <c r="W51" i="1" s="1"/>
  <c r="T52" i="1"/>
  <c r="W52" i="1" s="1"/>
  <c r="T53" i="1"/>
  <c r="T54" i="1"/>
  <c r="T55" i="1"/>
  <c r="W55" i="1" s="1"/>
  <c r="T56" i="1"/>
  <c r="W56" i="1" s="1"/>
  <c r="T57" i="1"/>
  <c r="W57" i="1" s="1"/>
  <c r="T58" i="1"/>
  <c r="W58" i="1" s="1"/>
  <c r="T59" i="1"/>
  <c r="W59" i="1" s="1"/>
  <c r="T60" i="1"/>
  <c r="W60" i="1" s="1"/>
  <c r="T61" i="1"/>
  <c r="W61" i="1" s="1"/>
  <c r="T62" i="1"/>
  <c r="W62" i="1" s="1"/>
  <c r="T63" i="1"/>
  <c r="W63" i="1" s="1"/>
  <c r="T64" i="1"/>
  <c r="W64" i="1" s="1"/>
  <c r="T65" i="1"/>
  <c r="W65" i="1" s="1"/>
  <c r="T66" i="1"/>
  <c r="W66" i="1" s="1"/>
  <c r="T67" i="1"/>
  <c r="W67" i="1" s="1"/>
  <c r="T68" i="1"/>
  <c r="W68" i="1" s="1"/>
  <c r="T69" i="1"/>
  <c r="W69" i="1" s="1"/>
  <c r="T70" i="1"/>
  <c r="W70" i="1" s="1"/>
  <c r="T71" i="1"/>
  <c r="W71" i="1" s="1"/>
  <c r="T72" i="1"/>
  <c r="W72" i="1" s="1"/>
  <c r="T73" i="1"/>
  <c r="W73" i="1" s="1"/>
  <c r="T74" i="1"/>
  <c r="W74" i="1" s="1"/>
  <c r="T75" i="1"/>
  <c r="T76" i="1"/>
  <c r="W76" i="1" s="1"/>
  <c r="T77" i="1"/>
  <c r="W77" i="1" s="1"/>
  <c r="T78" i="1"/>
  <c r="W78" i="1" s="1"/>
  <c r="T79" i="1"/>
  <c r="W79" i="1" s="1"/>
  <c r="T80" i="1"/>
  <c r="W80" i="1" s="1"/>
  <c r="T81" i="1"/>
  <c r="W81" i="1" s="1"/>
  <c r="T82" i="1"/>
  <c r="W82" i="1" s="1"/>
  <c r="T83" i="1"/>
  <c r="W83" i="1" s="1"/>
  <c r="T84" i="1"/>
  <c r="W84" i="1" s="1"/>
  <c r="T85" i="1"/>
  <c r="W85" i="1" s="1"/>
  <c r="T4" i="1"/>
  <c r="W4" i="1" s="1"/>
  <c r="T5" i="1"/>
  <c r="W5" i="1" s="1"/>
  <c r="T6" i="1"/>
  <c r="W6" i="1" s="1"/>
  <c r="T7" i="1"/>
  <c r="W7" i="1" s="1"/>
  <c r="T8" i="1"/>
  <c r="T9" i="1"/>
  <c r="W9" i="1" s="1"/>
  <c r="T10" i="1"/>
  <c r="T11" i="1"/>
  <c r="W11" i="1" s="1"/>
  <c r="T12" i="1"/>
  <c r="W12" i="1" s="1"/>
  <c r="T13" i="1"/>
  <c r="W13" i="1" s="1"/>
  <c r="T14" i="1"/>
  <c r="W14" i="1" s="1"/>
  <c r="T15" i="1"/>
  <c r="W15" i="1" s="1"/>
  <c r="T16" i="1"/>
  <c r="W16" i="1" s="1"/>
  <c r="T17" i="1"/>
  <c r="W17" i="1" s="1"/>
  <c r="T18" i="1"/>
  <c r="W18" i="1" s="1"/>
  <c r="T19" i="1"/>
  <c r="W19" i="1" s="1"/>
  <c r="T20" i="1"/>
  <c r="W20" i="1" s="1"/>
  <c r="T21" i="1"/>
  <c r="W21" i="1" s="1"/>
  <c r="T22" i="1"/>
  <c r="T23" i="1"/>
  <c r="W23" i="1" s="1"/>
  <c r="T24" i="1"/>
  <c r="T25" i="1"/>
  <c r="T26" i="1"/>
  <c r="T3" i="1"/>
  <c r="W3" i="1" s="1"/>
  <c r="R83" i="1"/>
  <c r="R84" i="1"/>
  <c r="R85" i="1"/>
  <c r="Q83" i="1"/>
  <c r="Q84" i="1"/>
  <c r="Q85" i="1"/>
  <c r="S8" i="1"/>
  <c r="V8" i="1" s="1"/>
  <c r="S5" i="1"/>
  <c r="S4" i="1"/>
  <c r="S6" i="1"/>
  <c r="V6" i="1" s="1"/>
  <c r="S7" i="1"/>
  <c r="V7" i="1" s="1"/>
  <c r="S9" i="1"/>
  <c r="V9" i="1" s="1"/>
  <c r="S10" i="1"/>
  <c r="S11" i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S20" i="1"/>
  <c r="V20" i="1" s="1"/>
  <c r="S21" i="1"/>
  <c r="V21" i="1" s="1"/>
  <c r="S22" i="1"/>
  <c r="V22" i="1" s="1"/>
  <c r="S23" i="1"/>
  <c r="V23" i="1" s="1"/>
  <c r="S24" i="1"/>
  <c r="S25" i="1"/>
  <c r="S26" i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S34" i="1"/>
  <c r="V34" i="1" s="1"/>
  <c r="S35" i="1"/>
  <c r="V35" i="1" s="1"/>
  <c r="S36" i="1"/>
  <c r="V36" i="1" s="1"/>
  <c r="S37" i="1"/>
  <c r="V37" i="1" s="1"/>
  <c r="S38" i="1"/>
  <c r="S39" i="1"/>
  <c r="S40" i="1"/>
  <c r="S41" i="1"/>
  <c r="V41" i="1" s="1"/>
  <c r="S42" i="1"/>
  <c r="V42" i="1" s="1"/>
  <c r="S43" i="1"/>
  <c r="V43" i="1" s="1"/>
  <c r="S44" i="1"/>
  <c r="V44" i="1" s="1"/>
  <c r="S45" i="1"/>
  <c r="V45" i="1" s="1"/>
  <c r="S46" i="1"/>
  <c r="V46" i="1" s="1"/>
  <c r="S47" i="1"/>
  <c r="V47" i="1" s="1"/>
  <c r="S48" i="1"/>
  <c r="V48" i="1" s="1"/>
  <c r="S49" i="1"/>
  <c r="V49" i="1" s="1"/>
  <c r="S50" i="1"/>
  <c r="V50" i="1" s="1"/>
  <c r="S51" i="1"/>
  <c r="V51" i="1" s="1"/>
  <c r="S52" i="1"/>
  <c r="V52" i="1" s="1"/>
  <c r="S53" i="1"/>
  <c r="V53" i="1" s="1"/>
  <c r="S54" i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3" i="1"/>
  <c r="V3" i="1" s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3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6" i="1"/>
  <c r="Q4" i="1"/>
  <c r="Q5" i="1"/>
  <c r="Q7" i="1"/>
  <c r="Q8" i="1"/>
  <c r="Q9" i="1"/>
  <c r="Q10" i="1"/>
  <c r="Q11" i="1"/>
  <c r="Q3" i="1"/>
  <c r="M102" i="2" l="1"/>
  <c r="L102" i="2"/>
  <c r="K102" i="2"/>
  <c r="J102" i="2"/>
  <c r="G102" i="2"/>
  <c r="D102" i="2"/>
  <c r="C102" i="2"/>
  <c r="B102" i="2"/>
</calcChain>
</file>

<file path=xl/sharedStrings.xml><?xml version="1.0" encoding="utf-8"?>
<sst xmlns="http://schemas.openxmlformats.org/spreadsheetml/2006/main" count="385" uniqueCount="95">
  <si>
    <t>Tаблица 1</t>
  </si>
  <si>
    <t>Наблюдение</t>
  </si>
  <si>
    <t>Тимолол</t>
  </si>
  <si>
    <t>Преднизолон</t>
  </si>
  <si>
    <t>Криотерапия</t>
  </si>
  <si>
    <t>ВВД</t>
  </si>
  <si>
    <t>Пропранолол</t>
  </si>
  <si>
    <t>Лазерная коагуляция</t>
  </si>
  <si>
    <t>Хирургическое лечение</t>
  </si>
  <si>
    <t>Медиана</t>
  </si>
  <si>
    <t>min</t>
  </si>
  <si>
    <t>max</t>
  </si>
  <si>
    <t>0.035</t>
  </si>
  <si>
    <t>3</t>
  </si>
  <si>
    <t>7.5</t>
  </si>
  <si>
    <t>1</t>
  </si>
  <si>
    <t>4</t>
  </si>
  <si>
    <t>6</t>
  </si>
  <si>
    <t>5</t>
  </si>
  <si>
    <t>3.5</t>
  </si>
  <si>
    <t>1.5</t>
  </si>
  <si>
    <t>2.5</t>
  </si>
  <si>
    <t>2</t>
  </si>
  <si>
    <t>0.5</t>
  </si>
  <si>
    <t>3545П</t>
  </si>
  <si>
    <t>3545Б</t>
  </si>
  <si>
    <t>3712П</t>
  </si>
  <si>
    <t>3712Ж</t>
  </si>
  <si>
    <t>3635Б</t>
  </si>
  <si>
    <t>3635Н</t>
  </si>
  <si>
    <t>3639Г</t>
  </si>
  <si>
    <t>3639Б</t>
  </si>
  <si>
    <t>Patient</t>
  </si>
  <si>
    <t>Locality</t>
  </si>
  <si>
    <t>Size (cm)</t>
  </si>
  <si>
    <t xml:space="preserve">Treatment tacktics </t>
  </si>
  <si>
    <t>Age (months)</t>
  </si>
  <si>
    <t>10</t>
  </si>
  <si>
    <t>9</t>
  </si>
  <si>
    <t>7</t>
  </si>
  <si>
    <t>8</t>
  </si>
  <si>
    <t>12</t>
  </si>
  <si>
    <t>24</t>
  </si>
  <si>
    <t>36</t>
  </si>
  <si>
    <t>120</t>
  </si>
  <si>
    <t>Operation</t>
  </si>
  <si>
    <t>Face</t>
  </si>
  <si>
    <t xml:space="preserve">Cheek </t>
  </si>
  <si>
    <t>Head</t>
  </si>
  <si>
    <t xml:space="preserve">Neck </t>
  </si>
  <si>
    <t>Back</t>
  </si>
  <si>
    <t>Chest</t>
  </si>
  <si>
    <t>Belly</t>
  </si>
  <si>
    <t>Armpit</t>
  </si>
  <si>
    <t>Elbow</t>
  </si>
  <si>
    <t>Under belly</t>
  </si>
  <si>
    <t>Side</t>
  </si>
  <si>
    <t>Hip</t>
  </si>
  <si>
    <t>Shoulder</t>
  </si>
  <si>
    <t>Shin</t>
  </si>
  <si>
    <t>Ankle</t>
  </si>
  <si>
    <t>Arm</t>
  </si>
  <si>
    <t>Glute</t>
  </si>
  <si>
    <t>Forearm</t>
  </si>
  <si>
    <t>Little finger</t>
  </si>
  <si>
    <t>Collarbone</t>
  </si>
  <si>
    <t>Leg</t>
  </si>
  <si>
    <t>Wrist</t>
  </si>
  <si>
    <t>Foot</t>
  </si>
  <si>
    <t>Toe</t>
  </si>
  <si>
    <t>Groin</t>
  </si>
  <si>
    <t>Observation</t>
  </si>
  <si>
    <t xml:space="preserve">Hemangioma mean </t>
  </si>
  <si>
    <t xml:space="preserve">Hemangioma std </t>
  </si>
  <si>
    <t>Skin mean</t>
  </si>
  <si>
    <t>Skin std</t>
  </si>
  <si>
    <t>Hemangioma area</t>
  </si>
  <si>
    <t>Slope</t>
  </si>
  <si>
    <t>Hemangioma / Skin mean</t>
  </si>
  <si>
    <t>Hemangioma std / Hemangioma mean</t>
  </si>
  <si>
    <t>nan</t>
  </si>
  <si>
    <t>Local Conservative</t>
  </si>
  <si>
    <t>1 / sqrt(Hemangioma area)</t>
  </si>
  <si>
    <t>HSS Score</t>
  </si>
  <si>
    <t>HASI Score</t>
  </si>
  <si>
    <t>HASI Color</t>
  </si>
  <si>
    <t>HASI Grey Regress</t>
  </si>
  <si>
    <t>HAS Score</t>
  </si>
  <si>
    <t xml:space="preserve"> 1 / Size (cm)</t>
  </si>
  <si>
    <t>log10(Slope)</t>
  </si>
  <si>
    <t>log10(1 / sqrt(Hemangioma area))</t>
  </si>
  <si>
    <t>log10( 1 / Size (cm))</t>
  </si>
  <si>
    <t>sqrt(Hemangioma area)</t>
  </si>
  <si>
    <t>sqrt(Hemangioma area/pi)</t>
  </si>
  <si>
    <t>sqrt(Hemangioma area/pi)*l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</si>
</sst>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sz val="8"/>
      <color indexed="8"/>
      <name val="Helvetica Neue"/>
    </font>
    <font>
      <b/>
      <sz val="10"/>
      <name val="Helvetica Neue"/>
    </font>
    <font>
      <sz val="10"/>
      <name val="Helvetica Neue"/>
    </font>
    <font>
      <sz val="10"/>
      <color indexed="8"/>
      <name val="Arial Unicode MS"/>
    </font>
    <font>
      <sz val="10"/>
      <color rgb="FF00B050"/>
      <name val="Helvetica Neue"/>
    </font>
    <font>
      <b/>
      <sz val="10"/>
      <color rgb="FF7030A0"/>
      <name val="Helvetica Neue"/>
    </font>
    <font>
      <sz val="10"/>
      <color rgb="FF7030A0"/>
      <name val="Helvetica Neue"/>
    </font>
  </fonts>
  <fills count="16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6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5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49" fontId="2" fillId="2" borderId="1" xfId="0" applyNumberFormat="1" applyFont="1" applyFill="1" applyBorder="1">
      <alignment vertical="top" wrapText="1"/>
    </xf>
    <xf numFmtId="0" fontId="0" fillId="0" borderId="4" xfId="0" applyNumberFormat="1" applyBorder="1">
      <alignment vertical="top" wrapText="1"/>
    </xf>
    <xf numFmtId="0" fontId="0" fillId="0" borderId="4" xfId="0" applyBorder="1">
      <alignment vertical="top" wrapText="1"/>
    </xf>
    <xf numFmtId="0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0" fontId="0" fillId="0" borderId="6" xfId="0" applyBorder="1">
      <alignment vertical="top" wrapText="1"/>
    </xf>
    <xf numFmtId="0" fontId="0" fillId="0" borderId="6" xfId="0" applyNumberFormat="1" applyBorder="1">
      <alignment vertical="top" wrapText="1"/>
    </xf>
    <xf numFmtId="0" fontId="2" fillId="8" borderId="1" xfId="0" applyFont="1" applyFill="1" applyBorder="1">
      <alignment vertical="top" wrapText="1"/>
    </xf>
    <xf numFmtId="49" fontId="2" fillId="9" borderId="1" xfId="0" applyNumberFormat="1" applyFont="1" applyFill="1" applyBorder="1">
      <alignment vertical="top" wrapText="1"/>
    </xf>
    <xf numFmtId="49" fontId="2" fillId="5" borderId="1" xfId="0" applyNumberFormat="1" applyFont="1" applyFill="1" applyBorder="1">
      <alignment vertical="top" wrapText="1"/>
    </xf>
    <xf numFmtId="49" fontId="2" fillId="7" borderId="1" xfId="0" applyNumberFormat="1" applyFont="1" applyFill="1" applyBorder="1">
      <alignment vertical="top" wrapText="1"/>
    </xf>
    <xf numFmtId="49" fontId="2" fillId="10" borderId="1" xfId="0" applyNumberFormat="1" applyFont="1" applyFill="1" applyBorder="1">
      <alignment vertical="top" wrapText="1"/>
    </xf>
    <xf numFmtId="49" fontId="2" fillId="11" borderId="1" xfId="0" applyNumberFormat="1" applyFont="1" applyFill="1" applyBorder="1">
      <alignment vertical="top" wrapText="1"/>
    </xf>
    <xf numFmtId="0" fontId="2" fillId="8" borderId="4" xfId="0" applyFont="1" applyFill="1" applyBorder="1">
      <alignment vertical="top" wrapText="1"/>
    </xf>
    <xf numFmtId="0" fontId="2" fillId="8" borderId="2" xfId="0" applyNumberFormat="1" applyFont="1" applyFill="1" applyBorder="1">
      <alignment vertical="top" wrapText="1"/>
    </xf>
    <xf numFmtId="0" fontId="0" fillId="0" borderId="3" xfId="0" applyNumberFormat="1" applyBorder="1">
      <alignment vertical="top" wrapText="1"/>
    </xf>
    <xf numFmtId="0" fontId="2" fillId="8" borderId="7" xfId="0" applyFont="1" applyFill="1" applyBorder="1">
      <alignment vertical="top" wrapText="1"/>
    </xf>
    <xf numFmtId="0" fontId="2" fillId="8" borderId="5" xfId="0" applyNumberFormat="1" applyFont="1" applyFill="1" applyBorder="1">
      <alignment vertical="top" wrapText="1"/>
    </xf>
    <xf numFmtId="0" fontId="2" fillId="8" borderId="5" xfId="0" applyFont="1" applyFill="1" applyBorder="1">
      <alignment vertical="top" wrapText="1"/>
    </xf>
    <xf numFmtId="49" fontId="2" fillId="8" borderId="7" xfId="0" applyNumberFormat="1" applyFont="1" applyFill="1" applyBorder="1">
      <alignment vertical="top" wrapText="1"/>
    </xf>
    <xf numFmtId="0" fontId="2" fillId="0" borderId="6" xfId="0" applyNumberFormat="1" applyFont="1" applyBorder="1">
      <alignment vertical="top" wrapText="1"/>
    </xf>
    <xf numFmtId="0" fontId="3" fillId="0" borderId="7" xfId="0" applyNumberFormat="1" applyFont="1" applyBorder="1">
      <alignment vertical="top" wrapText="1"/>
    </xf>
    <xf numFmtId="0" fontId="6" fillId="0" borderId="0" xfId="0" applyFont="1" applyAlignment="1">
      <alignment vertical="center"/>
    </xf>
    <xf numFmtId="0" fontId="5" fillId="0" borderId="0" xfId="0" applyNumberFormat="1" applyFont="1" applyAlignment="1">
      <alignment vertical="center" wrapText="1"/>
    </xf>
    <xf numFmtId="0" fontId="0" fillId="0" borderId="0" xfId="0" applyNumberFormat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49" fontId="2" fillId="2" borderId="8" xfId="0" applyNumberFormat="1" applyFont="1" applyFill="1" applyBorder="1" applyAlignment="1">
      <alignment vertical="center" wrapText="1"/>
    </xf>
    <xf numFmtId="0" fontId="4" fillId="3" borderId="5" xfId="0" applyNumberFormat="1" applyFont="1" applyFill="1" applyBorder="1" applyAlignment="1">
      <alignment vertical="center" wrapText="1"/>
    </xf>
    <xf numFmtId="49" fontId="5" fillId="0" borderId="7" xfId="0" applyNumberFormat="1" applyFont="1" applyBorder="1" applyAlignment="1">
      <alignment vertical="center" wrapText="1"/>
    </xf>
    <xf numFmtId="0" fontId="5" fillId="0" borderId="7" xfId="0" applyNumberFormat="1" applyFont="1" applyBorder="1" applyAlignment="1">
      <alignment vertical="center" wrapText="1"/>
    </xf>
    <xf numFmtId="49" fontId="5" fillId="5" borderId="7" xfId="0" applyNumberFormat="1" applyFont="1" applyFill="1" applyBorder="1" applyAlignment="1">
      <alignment vertical="center" wrapText="1"/>
    </xf>
    <xf numFmtId="0" fontId="4" fillId="4" borderId="5" xfId="0" applyNumberFormat="1" applyFont="1" applyFill="1" applyBorder="1" applyAlignment="1">
      <alignment vertical="center" wrapText="1"/>
    </xf>
    <xf numFmtId="49" fontId="5" fillId="6" borderId="7" xfId="0" applyNumberFormat="1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49" fontId="2" fillId="12" borderId="1" xfId="0" applyNumberFormat="1" applyFont="1" applyFill="1" applyBorder="1" applyAlignment="1">
      <alignment vertical="center" wrapText="1"/>
    </xf>
    <xf numFmtId="49" fontId="2" fillId="13" borderId="1" xfId="0" applyNumberFormat="1" applyFont="1" applyFill="1" applyBorder="1" applyAlignment="1">
      <alignment vertical="center" wrapText="1"/>
    </xf>
    <xf numFmtId="0" fontId="7" fillId="0" borderId="7" xfId="0" applyNumberFormat="1" applyFont="1" applyBorder="1">
      <alignment vertical="top" wrapText="1"/>
    </xf>
    <xf numFmtId="0" fontId="7" fillId="0" borderId="7" xfId="0" applyFont="1" applyBorder="1">
      <alignment vertical="top" wrapText="1"/>
    </xf>
    <xf numFmtId="0" fontId="5" fillId="0" borderId="7" xfId="0" applyNumberFormat="1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14" borderId="7" xfId="0" applyNumberFormat="1" applyFont="1" applyFill="1" applyBorder="1">
      <alignment vertical="top" wrapText="1"/>
    </xf>
    <xf numFmtId="0" fontId="8" fillId="6" borderId="9" xfId="0" applyNumberFormat="1" applyFont="1" applyFill="1" applyBorder="1">
      <alignment vertical="top" wrapText="1"/>
    </xf>
    <xf numFmtId="49" fontId="9" fillId="0" borderId="7" xfId="0" applyNumberFormat="1" applyFont="1" applyBorder="1">
      <alignment vertical="top" wrapText="1"/>
    </xf>
    <xf numFmtId="0" fontId="9" fillId="0" borderId="7" xfId="0" applyNumberFormat="1" applyFont="1" applyBorder="1">
      <alignment vertical="top" wrapText="1"/>
    </xf>
    <xf numFmtId="0" fontId="0" fillId="0" borderId="10" xfId="0" applyBorder="1" applyAlignment="1">
      <alignment vertical="center" wrapText="1"/>
    </xf>
    <xf numFmtId="49" fontId="9" fillId="0" borderId="13" xfId="0" applyNumberFormat="1" applyFont="1" applyBorder="1">
      <alignment vertical="top" wrapText="1"/>
    </xf>
    <xf numFmtId="49" fontId="5" fillId="0" borderId="11" xfId="0" applyNumberFormat="1" applyFont="1" applyBorder="1" applyAlignment="1">
      <alignment vertical="center" wrapText="1"/>
    </xf>
    <xf numFmtId="0" fontId="0" fillId="0" borderId="12" xfId="0" applyNumberFormat="1" applyBorder="1" applyAlignment="1">
      <alignment vertical="center" wrapText="1"/>
    </xf>
    <xf numFmtId="49" fontId="2" fillId="2" borderId="0" xfId="0" applyNumberFormat="1" applyFont="1" applyFill="1" applyBorder="1" applyAlignment="1">
      <alignment vertical="center" wrapText="1"/>
    </xf>
    <xf numFmtId="49" fontId="5" fillId="0" borderId="0" xfId="0" applyNumberFormat="1" applyFont="1" applyAlignment="1">
      <alignment vertical="center" wrapText="1"/>
    </xf>
    <xf numFmtId="0" fontId="2" fillId="2" borderId="8" xfId="0" applyNumberFormat="1" applyFont="1" applyFill="1" applyBorder="1" applyAlignment="1">
      <alignment vertical="center" wrapText="1"/>
    </xf>
    <xf numFmtId="0" fontId="6" fillId="0" borderId="0" xfId="0" applyNumberFormat="1" applyFont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15" borderId="0" xfId="0" applyNumberFormat="1" applyFont="1" applyFill="1" applyAlignment="1">
      <alignment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96D35F"/>
      <rgbColor rgb="FFA5A5A5"/>
      <rgbColor rgb="FF3F3F3F"/>
      <rgbColor rgb="FFFF4015"/>
      <rgbColor rgb="FFF4A4C0"/>
      <rgbColor rgb="FFDBDBDB"/>
      <rgbColor rgb="FFFECB3E"/>
      <rgbColor rgb="FFB1DD8B"/>
      <rgbColor rgb="FF52D6FC"/>
      <rgbColor rgb="FFFEFB41"/>
      <rgbColor rgb="FFB18CFE"/>
      <rgbColor rgb="FF3A87FE"/>
      <rgbColor rgb="FFFFFFFF"/>
      <rgbColor rgb="FF93E3FD"/>
      <rgbColor rgb="FFFEB43F"/>
      <rgbColor rgb="FFFF8C82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538163</xdr:colOff>
          <xdr:row>31</xdr:row>
          <xdr:rowOff>76200</xdr:rowOff>
        </xdr:from>
        <xdr:to>
          <xdr:col>11</xdr:col>
          <xdr:colOff>838200</xdr:colOff>
          <xdr:row>32</xdr:row>
          <xdr:rowOff>84137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ntrol" Target="../activeX/activeX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Z101"/>
  <sheetViews>
    <sheetView showGridLines="0" tabSelected="1" zoomScale="81" zoomScaleNormal="70" workbookViewId="0">
      <pane xSplit="1" ySplit="2" topLeftCell="B3" activePane="bottomRight" state="frozen"/>
      <selection pane="topRight"/>
      <selection pane="bottomLeft"/>
      <selection pane="bottomRight" activeCell="B2" sqref="B1:B1048576"/>
    </sheetView>
  </sheetViews>
  <sheetFormatPr defaultColWidth="16.265625" defaultRowHeight="19.899999999999999" customHeight="1"/>
  <cols>
    <col min="1" max="11" width="16.265625" style="26" customWidth="1"/>
    <col min="12" max="16384" width="16.265625" style="26"/>
  </cols>
  <sheetData>
    <row r="1" spans="1:26" ht="27.6" customHeight="1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</row>
    <row r="2" spans="1:26" ht="44.25" customHeight="1">
      <c r="A2" s="27" t="s">
        <v>32</v>
      </c>
      <c r="B2" s="27" t="s">
        <v>36</v>
      </c>
      <c r="C2" s="27" t="s">
        <v>33</v>
      </c>
      <c r="D2" s="27" t="s">
        <v>34</v>
      </c>
      <c r="E2" s="28" t="s">
        <v>83</v>
      </c>
      <c r="F2" s="38" t="s">
        <v>87</v>
      </c>
      <c r="G2" s="39" t="s">
        <v>84</v>
      </c>
      <c r="H2" s="39" t="s">
        <v>85</v>
      </c>
      <c r="I2" s="39" t="s">
        <v>86</v>
      </c>
      <c r="J2" s="27" t="s">
        <v>35</v>
      </c>
      <c r="K2" s="29" t="s">
        <v>72</v>
      </c>
      <c r="L2" s="29" t="s">
        <v>73</v>
      </c>
      <c r="M2" s="29" t="s">
        <v>74</v>
      </c>
      <c r="N2" s="29" t="s">
        <v>75</v>
      </c>
      <c r="O2" s="29" t="s">
        <v>76</v>
      </c>
      <c r="P2" s="54" t="s">
        <v>77</v>
      </c>
      <c r="Q2" s="29" t="s">
        <v>78</v>
      </c>
      <c r="R2" s="29" t="s">
        <v>79</v>
      </c>
      <c r="S2" s="29" t="s">
        <v>82</v>
      </c>
      <c r="T2" s="52" t="s">
        <v>88</v>
      </c>
      <c r="U2" s="56" t="s">
        <v>89</v>
      </c>
      <c r="V2" s="56" t="s">
        <v>90</v>
      </c>
      <c r="W2" s="56" t="s">
        <v>91</v>
      </c>
      <c r="X2" s="57" t="s">
        <v>92</v>
      </c>
      <c r="Y2" s="57" t="s">
        <v>93</v>
      </c>
      <c r="Z2" s="57" t="s">
        <v>94</v>
      </c>
    </row>
    <row r="3" spans="1:26" s="25" customFormat="1" ht="26.25" customHeight="1">
      <c r="A3" s="30">
        <v>3501</v>
      </c>
      <c r="B3" s="31" t="s">
        <v>17</v>
      </c>
      <c r="C3" s="31" t="s">
        <v>46</v>
      </c>
      <c r="D3" s="31" t="s">
        <v>12</v>
      </c>
      <c r="E3" s="32">
        <v>4</v>
      </c>
      <c r="F3" s="42">
        <v>3</v>
      </c>
      <c r="G3" s="40">
        <v>6</v>
      </c>
      <c r="H3" s="40">
        <v>6</v>
      </c>
      <c r="I3" s="41"/>
      <c r="J3" s="33" t="s">
        <v>81</v>
      </c>
      <c r="K3" s="24">
        <v>169.77106373751701</v>
      </c>
      <c r="L3" s="24">
        <v>40.626727762523899</v>
      </c>
      <c r="M3" s="24">
        <v>36.9654283810113</v>
      </c>
      <c r="N3" s="24">
        <v>13.0368465696392</v>
      </c>
      <c r="O3" s="24">
        <v>16366</v>
      </c>
      <c r="P3" s="55">
        <v>0.15575787680587</v>
      </c>
      <c r="Q3" s="25">
        <f>K3/M3</f>
        <v>4.592698398829496</v>
      </c>
      <c r="R3" s="25">
        <f>L3/K3</f>
        <v>0.23930301706383175</v>
      </c>
      <c r="S3" s="25">
        <f>1/SQRT(O3)</f>
        <v>7.8167950737797545E-3</v>
      </c>
      <c r="T3" s="53">
        <f xml:space="preserve"> 1/ D3</f>
        <v>28.571428571428569</v>
      </c>
      <c r="U3" s="25">
        <f>LOG10(P3)</f>
        <v>-0.80754998147890389</v>
      </c>
      <c r="V3" s="26">
        <f>LN(S3)</f>
        <v>-4.8514806455436634</v>
      </c>
      <c r="W3" s="25">
        <f>LN(T3)</f>
        <v>3.3524072174927233</v>
      </c>
      <c r="X3" s="25">
        <f>SQRT(O3)</f>
        <v>127.92966817747946</v>
      </c>
      <c r="Y3" s="25">
        <f>SQRT(O3/PI())</f>
        <v>72.176586212454779</v>
      </c>
      <c r="Z3" s="25">
        <f>Y3*0.001</f>
        <v>7.2176586212454777E-2</v>
      </c>
    </row>
    <row r="4" spans="1:26" s="25" customFormat="1" ht="20.100000000000001" customHeight="1">
      <c r="A4" s="34">
        <v>3434</v>
      </c>
      <c r="B4" s="31" t="s">
        <v>18</v>
      </c>
      <c r="C4" s="31" t="s">
        <v>56</v>
      </c>
      <c r="D4" s="31" t="s">
        <v>13</v>
      </c>
      <c r="E4" s="32">
        <v>2</v>
      </c>
      <c r="F4" s="42">
        <v>3</v>
      </c>
      <c r="G4" s="40">
        <v>6</v>
      </c>
      <c r="H4" s="40">
        <v>6</v>
      </c>
      <c r="I4" s="40">
        <v>-1</v>
      </c>
      <c r="J4" s="33" t="s">
        <v>81</v>
      </c>
      <c r="K4" s="24">
        <v>173.62087953151601</v>
      </c>
      <c r="L4" s="24">
        <v>32.187893768149102</v>
      </c>
      <c r="M4" s="24">
        <v>63.769885691808803</v>
      </c>
      <c r="N4" s="24">
        <v>23.062573399477699</v>
      </c>
      <c r="O4" s="24">
        <v>678680</v>
      </c>
      <c r="P4" s="55">
        <v>9.1629876772276603E-3</v>
      </c>
      <c r="Q4" s="25">
        <f t="shared" ref="Q4:Q67" si="0">K4/M4</f>
        <v>2.7226155049203342</v>
      </c>
      <c r="R4" s="25">
        <f t="shared" ref="R4:R67" si="1">L4/K4</f>
        <v>0.18539183682862459</v>
      </c>
      <c r="S4" s="25">
        <f t="shared" ref="S4:S67" si="2">1/SQRT(O4)</f>
        <v>1.2138568526695857E-3</v>
      </c>
      <c r="T4" s="53">
        <f t="shared" ref="T4:T67" si="3" xml:space="preserve"> 1/ D4</f>
        <v>0.33333333333333331</v>
      </c>
      <c r="U4" s="25">
        <f t="shared" ref="U4:U67" si="4">LOG10(P4)</f>
        <v>-2.0379628974921333</v>
      </c>
      <c r="V4" s="26">
        <f t="shared" ref="V4:V67" si="5">LN(S4)</f>
        <v>-6.7139525070784378</v>
      </c>
      <c r="W4" s="25">
        <f t="shared" ref="W4:W67" si="6">LN(T4)</f>
        <v>-1.0986122886681098</v>
      </c>
      <c r="X4" s="25">
        <f t="shared" ref="X4:X67" si="7">SQRT(O4)</f>
        <v>823.82036876979441</v>
      </c>
      <c r="Y4" s="25">
        <f t="shared" ref="Y4:Y67" si="8">SQRT(O4/PI())</f>
        <v>464.7908707743893</v>
      </c>
      <c r="Z4" s="25">
        <f t="shared" ref="Z4:Z67" si="9">Y4*0.001</f>
        <v>0.4647908707743893</v>
      </c>
    </row>
    <row r="5" spans="1:26" s="25" customFormat="1" ht="32.1" customHeight="1">
      <c r="A5" s="34">
        <v>3503</v>
      </c>
      <c r="B5" s="31" t="s">
        <v>37</v>
      </c>
      <c r="C5" s="31" t="s">
        <v>70</v>
      </c>
      <c r="D5" s="31" t="s">
        <v>14</v>
      </c>
      <c r="E5" s="32">
        <v>13</v>
      </c>
      <c r="F5" s="42">
        <v>2.5</v>
      </c>
      <c r="G5" s="40">
        <v>16</v>
      </c>
      <c r="H5" s="40">
        <v>7</v>
      </c>
      <c r="I5" s="41"/>
      <c r="J5" s="31" t="s">
        <v>45</v>
      </c>
      <c r="K5" s="24">
        <v>204.71484194392499</v>
      </c>
      <c r="L5" s="24">
        <v>27.3851637673162</v>
      </c>
      <c r="M5" s="24">
        <v>47.134445033338103</v>
      </c>
      <c r="N5" s="24">
        <v>28.707296134917598</v>
      </c>
      <c r="O5" s="24">
        <v>1271838.5</v>
      </c>
      <c r="P5" s="55">
        <v>1.19856978925665E-2</v>
      </c>
      <c r="Q5" s="25">
        <f t="shared" si="0"/>
        <v>4.343211038108767</v>
      </c>
      <c r="R5" s="25">
        <f t="shared" si="1"/>
        <v>0.13377224390412043</v>
      </c>
      <c r="S5" s="25">
        <f>1/SQRT(O5)</f>
        <v>8.8671492051294184E-4</v>
      </c>
      <c r="T5" s="53">
        <f t="shared" si="3"/>
        <v>0.13333333333333333</v>
      </c>
      <c r="U5" s="25">
        <f t="shared" si="4"/>
        <v>-1.9213366731809016</v>
      </c>
      <c r="V5" s="26">
        <f t="shared" si="5"/>
        <v>-7.027987024706305</v>
      </c>
      <c r="W5" s="25">
        <f t="shared" si="6"/>
        <v>-2.0149030205422647</v>
      </c>
      <c r="X5" s="25">
        <f t="shared" si="7"/>
        <v>1127.7581744327993</v>
      </c>
      <c r="Y5" s="25">
        <f t="shared" si="8"/>
        <v>636.26941477581886</v>
      </c>
      <c r="Z5" s="25">
        <f t="shared" si="9"/>
        <v>0.63626941477581889</v>
      </c>
    </row>
    <row r="6" spans="1:26" s="25" customFormat="1" ht="27" customHeight="1">
      <c r="A6" s="34">
        <v>3504</v>
      </c>
      <c r="B6" s="31" t="s">
        <v>38</v>
      </c>
      <c r="C6" s="31" t="s">
        <v>50</v>
      </c>
      <c r="D6" s="31" t="s">
        <v>15</v>
      </c>
      <c r="E6" s="32">
        <v>2</v>
      </c>
      <c r="F6" s="42">
        <v>3</v>
      </c>
      <c r="G6" s="40">
        <v>4</v>
      </c>
      <c r="H6" s="40">
        <v>6</v>
      </c>
      <c r="I6" s="40">
        <v>-2</v>
      </c>
      <c r="J6" s="35" t="s">
        <v>71</v>
      </c>
      <c r="K6" s="24">
        <v>142.34435409336601</v>
      </c>
      <c r="L6" s="24">
        <v>36.782517530228702</v>
      </c>
      <c r="M6" s="24">
        <v>54.158891580805701</v>
      </c>
      <c r="N6" s="24">
        <v>17.335332493358099</v>
      </c>
      <c r="O6" s="24">
        <v>355931.5</v>
      </c>
      <c r="P6" s="55">
        <v>1.4597971960311E-2</v>
      </c>
      <c r="Q6" s="25">
        <f>K6/M6</f>
        <v>2.6282730303109427</v>
      </c>
      <c r="R6" s="25">
        <f t="shared" si="1"/>
        <v>0.25840517359826187</v>
      </c>
      <c r="S6" s="25">
        <f t="shared" si="2"/>
        <v>1.6761650759065994E-3</v>
      </c>
      <c r="T6" s="53">
        <f t="shared" si="3"/>
        <v>1</v>
      </c>
      <c r="U6" s="25">
        <f t="shared" si="4"/>
        <v>-1.8357074748747353</v>
      </c>
      <c r="V6" s="26">
        <f t="shared" si="5"/>
        <v>-6.3912467877947741</v>
      </c>
      <c r="W6" s="25">
        <f t="shared" si="6"/>
        <v>0</v>
      </c>
      <c r="X6" s="25">
        <f t="shared" si="7"/>
        <v>596.59994971504989</v>
      </c>
      <c r="Y6" s="25">
        <f t="shared" si="8"/>
        <v>336.59547717434629</v>
      </c>
      <c r="Z6" s="25">
        <f t="shared" si="9"/>
        <v>0.33659547717434629</v>
      </c>
    </row>
    <row r="7" spans="1:26" s="25" customFormat="1" ht="32.25" customHeight="1">
      <c r="A7" s="34">
        <v>3505</v>
      </c>
      <c r="B7" s="31" t="s">
        <v>39</v>
      </c>
      <c r="C7" s="31" t="s">
        <v>51</v>
      </c>
      <c r="D7" s="31" t="s">
        <v>16</v>
      </c>
      <c r="E7" s="32">
        <v>3</v>
      </c>
      <c r="F7" s="42">
        <v>3</v>
      </c>
      <c r="G7" s="40">
        <v>8</v>
      </c>
      <c r="H7" s="40">
        <v>6</v>
      </c>
      <c r="I7" s="41"/>
      <c r="J7" s="33" t="s">
        <v>81</v>
      </c>
      <c r="K7" s="24">
        <v>190.953769753975</v>
      </c>
      <c r="L7" s="24">
        <v>27.901894604060001</v>
      </c>
      <c r="M7" s="24">
        <v>42.026359285309397</v>
      </c>
      <c r="N7" s="24">
        <v>25.990098054216801</v>
      </c>
      <c r="O7" s="24">
        <v>1349488.5</v>
      </c>
      <c r="P7" s="55">
        <v>1.43308558546334E-2</v>
      </c>
      <c r="Q7" s="25">
        <f t="shared" si="0"/>
        <v>4.5436667130175179</v>
      </c>
      <c r="R7" s="25">
        <f t="shared" si="1"/>
        <v>0.14611858482819598</v>
      </c>
      <c r="S7" s="25">
        <f t="shared" si="2"/>
        <v>8.6082605998867351E-4</v>
      </c>
      <c r="T7" s="53">
        <f t="shared" si="3"/>
        <v>0.25</v>
      </c>
      <c r="U7" s="25">
        <f t="shared" si="4"/>
        <v>-1.843727872279179</v>
      </c>
      <c r="V7" s="26">
        <f t="shared" si="5"/>
        <v>-7.0576180948645959</v>
      </c>
      <c r="W7" s="25">
        <f t="shared" si="6"/>
        <v>-1.3862943611198906</v>
      </c>
      <c r="X7" s="25">
        <f t="shared" si="7"/>
        <v>1161.6748684550253</v>
      </c>
      <c r="Y7" s="25">
        <f t="shared" si="8"/>
        <v>655.40486025153518</v>
      </c>
      <c r="Z7" s="25">
        <f t="shared" si="9"/>
        <v>0.65540486025153522</v>
      </c>
    </row>
    <row r="8" spans="1:26" s="25" customFormat="1" ht="30" customHeight="1">
      <c r="A8" s="34">
        <v>3506</v>
      </c>
      <c r="B8" s="31" t="s">
        <v>16</v>
      </c>
      <c r="C8" s="31" t="s">
        <v>51</v>
      </c>
      <c r="D8" s="31" t="s">
        <v>13</v>
      </c>
      <c r="E8" s="32">
        <v>3</v>
      </c>
      <c r="F8" s="42">
        <v>5</v>
      </c>
      <c r="G8" s="40">
        <v>9</v>
      </c>
      <c r="H8" s="40">
        <v>7</v>
      </c>
      <c r="I8" s="41"/>
      <c r="J8" s="33" t="s">
        <v>81</v>
      </c>
      <c r="K8" s="24">
        <v>212.14007989371899</v>
      </c>
      <c r="L8" s="24">
        <v>30.333473905714399</v>
      </c>
      <c r="M8" s="24">
        <v>47.718678727800601</v>
      </c>
      <c r="N8" s="24">
        <v>28.544174711743</v>
      </c>
      <c r="O8" s="24">
        <v>1014708.5</v>
      </c>
      <c r="P8" s="55">
        <v>2.33926488046966E-2</v>
      </c>
      <c r="Q8" s="25">
        <f t="shared" si="0"/>
        <v>4.445640272309709</v>
      </c>
      <c r="R8" s="25">
        <f t="shared" si="1"/>
        <v>0.14298794419664262</v>
      </c>
      <c r="S8" s="25">
        <f>1/SQRT(O8)</f>
        <v>9.9272589573372598E-4</v>
      </c>
      <c r="T8" s="53">
        <f t="shared" si="3"/>
        <v>0.33333333333333331</v>
      </c>
      <c r="U8" s="25">
        <f t="shared" si="4"/>
        <v>-1.6309205992198399</v>
      </c>
      <c r="V8" s="26">
        <f t="shared" si="5"/>
        <v>-6.9150559685461221</v>
      </c>
      <c r="W8" s="25">
        <f t="shared" si="6"/>
        <v>-1.0986122886681098</v>
      </c>
      <c r="X8" s="25">
        <f t="shared" si="7"/>
        <v>1007.3274045711255</v>
      </c>
      <c r="Y8" s="25">
        <f t="shared" si="8"/>
        <v>568.32362888122555</v>
      </c>
      <c r="Z8" s="25">
        <f t="shared" si="9"/>
        <v>0.56832362888122556</v>
      </c>
    </row>
    <row r="9" spans="1:26" s="25" customFormat="1" ht="27" customHeight="1">
      <c r="A9" s="34">
        <v>3507</v>
      </c>
      <c r="B9" s="31" t="s">
        <v>40</v>
      </c>
      <c r="C9" s="31" t="s">
        <v>62</v>
      </c>
      <c r="D9" s="31" t="s">
        <v>17</v>
      </c>
      <c r="E9" s="32">
        <v>3</v>
      </c>
      <c r="F9" s="42">
        <v>2</v>
      </c>
      <c r="G9" s="40">
        <v>3</v>
      </c>
      <c r="H9" s="40">
        <v>6</v>
      </c>
      <c r="I9" s="40">
        <v>-4</v>
      </c>
      <c r="J9" s="33" t="s">
        <v>81</v>
      </c>
      <c r="K9" s="24">
        <v>145.582730639934</v>
      </c>
      <c r="L9" s="24">
        <v>25.2592133482981</v>
      </c>
      <c r="M9" s="24">
        <v>83.544145196995004</v>
      </c>
      <c r="N9" s="24">
        <v>20.755818957689399</v>
      </c>
      <c r="O9" s="24">
        <v>1594290.5</v>
      </c>
      <c r="P9" s="55">
        <v>6.1547979900940797E-3</v>
      </c>
      <c r="Q9" s="25">
        <f t="shared" si="0"/>
        <v>1.7425844779027131</v>
      </c>
      <c r="R9" s="25">
        <f t="shared" si="1"/>
        <v>0.17350418718804678</v>
      </c>
      <c r="S9" s="25">
        <f t="shared" si="2"/>
        <v>7.9198375016808977E-4</v>
      </c>
      <c r="T9" s="53">
        <f t="shared" si="3"/>
        <v>0.16666666666666666</v>
      </c>
      <c r="U9" s="25">
        <f t="shared" si="4"/>
        <v>-2.2107861967094578</v>
      </c>
      <c r="V9" s="26">
        <f t="shared" si="5"/>
        <v>-7.1409696838248671</v>
      </c>
      <c r="W9" s="25">
        <f t="shared" si="6"/>
        <v>-1.791759469228055</v>
      </c>
      <c r="X9" s="25">
        <f t="shared" si="7"/>
        <v>1262.6521690473587</v>
      </c>
      <c r="Y9" s="25">
        <f t="shared" si="8"/>
        <v>712.37520142050062</v>
      </c>
      <c r="Z9" s="25">
        <f t="shared" si="9"/>
        <v>0.71237520142050059</v>
      </c>
    </row>
    <row r="10" spans="1:26" s="25" customFormat="1" ht="33.75" customHeight="1">
      <c r="A10" s="34">
        <v>2221</v>
      </c>
      <c r="B10" s="31" t="s">
        <v>22</v>
      </c>
      <c r="C10" s="31" t="s">
        <v>51</v>
      </c>
      <c r="D10" s="31" t="s">
        <v>18</v>
      </c>
      <c r="E10" s="32">
        <v>4</v>
      </c>
      <c r="F10" s="42">
        <v>3</v>
      </c>
      <c r="G10" s="40">
        <v>8</v>
      </c>
      <c r="H10" s="40">
        <v>6</v>
      </c>
      <c r="I10" s="41"/>
      <c r="J10" s="33" t="s">
        <v>81</v>
      </c>
      <c r="K10" s="24">
        <v>148.470752503733</v>
      </c>
      <c r="L10" s="24">
        <v>29.251804252455099</v>
      </c>
      <c r="M10" s="24">
        <v>48.425798191488397</v>
      </c>
      <c r="N10" s="24">
        <v>24.581548051633</v>
      </c>
      <c r="O10" s="24">
        <v>1467192</v>
      </c>
      <c r="P10" s="55">
        <v>9.2512534283836004E-3</v>
      </c>
      <c r="Q10" s="25">
        <f t="shared" si="0"/>
        <v>3.0659433204722908</v>
      </c>
      <c r="R10" s="25">
        <f t="shared" si="1"/>
        <v>0.19702065059392504</v>
      </c>
      <c r="S10" s="25">
        <f t="shared" si="2"/>
        <v>8.2557498410753519E-4</v>
      </c>
      <c r="T10" s="53">
        <f t="shared" si="3"/>
        <v>0.2</v>
      </c>
      <c r="U10" s="25">
        <f t="shared" si="4"/>
        <v>-2.0337994218391264</v>
      </c>
      <c r="V10" s="26">
        <f t="shared" si="5"/>
        <v>-7.0994304639533841</v>
      </c>
      <c r="W10" s="25">
        <f t="shared" si="6"/>
        <v>-1.6094379124341003</v>
      </c>
      <c r="X10" s="25">
        <f t="shared" si="7"/>
        <v>1211.2770120827026</v>
      </c>
      <c r="Y10" s="25">
        <f t="shared" si="8"/>
        <v>683.38987300791064</v>
      </c>
      <c r="Z10" s="25">
        <f t="shared" si="9"/>
        <v>0.68338987300791065</v>
      </c>
    </row>
    <row r="11" spans="1:26" s="25" customFormat="1" ht="27.75" customHeight="1">
      <c r="A11" s="34">
        <v>3509</v>
      </c>
      <c r="B11" s="31" t="s">
        <v>22</v>
      </c>
      <c r="C11" s="31" t="s">
        <v>68</v>
      </c>
      <c r="D11" s="31" t="s">
        <v>19</v>
      </c>
      <c r="E11" s="32">
        <v>2</v>
      </c>
      <c r="F11" s="42">
        <v>3</v>
      </c>
      <c r="G11" s="40">
        <v>8</v>
      </c>
      <c r="H11" s="40">
        <v>6</v>
      </c>
      <c r="I11" s="41"/>
      <c r="J11" s="33" t="s">
        <v>81</v>
      </c>
      <c r="K11" s="24">
        <v>198.76712899835599</v>
      </c>
      <c r="L11" s="24">
        <v>27.421170612429201</v>
      </c>
      <c r="M11" s="24">
        <v>66.553202216918393</v>
      </c>
      <c r="N11" s="24">
        <v>29.124428724984</v>
      </c>
      <c r="O11" s="24">
        <v>551293</v>
      </c>
      <c r="P11" s="55">
        <v>1.10377422489493E-2</v>
      </c>
      <c r="Q11" s="25">
        <f t="shared" si="0"/>
        <v>2.9865900118601307</v>
      </c>
      <c r="R11" s="25">
        <f t="shared" si="1"/>
        <v>0.13795626445183501</v>
      </c>
      <c r="S11" s="25">
        <f t="shared" si="2"/>
        <v>1.3468175314895455E-3</v>
      </c>
      <c r="T11" s="53">
        <f t="shared" si="3"/>
        <v>0.2857142857142857</v>
      </c>
      <c r="U11" s="25">
        <f t="shared" si="4"/>
        <v>-1.9571197517063426</v>
      </c>
      <c r="V11" s="26">
        <f t="shared" si="5"/>
        <v>-6.6100108536180722</v>
      </c>
      <c r="W11" s="25">
        <f t="shared" si="6"/>
        <v>-1.2527629684953681</v>
      </c>
      <c r="X11" s="25">
        <f t="shared" si="7"/>
        <v>742.49107738746602</v>
      </c>
      <c r="Y11" s="25">
        <f t="shared" si="8"/>
        <v>418.90573173915931</v>
      </c>
      <c r="Z11" s="25">
        <f t="shared" si="9"/>
        <v>0.41890573173915929</v>
      </c>
    </row>
    <row r="12" spans="1:26" s="25" customFormat="1" ht="31.5" customHeight="1">
      <c r="A12" s="34">
        <v>3419</v>
      </c>
      <c r="B12" s="31" t="s">
        <v>15</v>
      </c>
      <c r="C12" s="31" t="s">
        <v>48</v>
      </c>
      <c r="D12" s="31" t="s">
        <v>15</v>
      </c>
      <c r="E12" s="32">
        <v>3</v>
      </c>
      <c r="F12" s="42">
        <v>3</v>
      </c>
      <c r="G12" s="40">
        <v>6</v>
      </c>
      <c r="H12" s="40">
        <v>7</v>
      </c>
      <c r="I12" s="40">
        <v>-1</v>
      </c>
      <c r="J12" s="33" t="s">
        <v>81</v>
      </c>
      <c r="K12" s="24">
        <v>160.57154373447699</v>
      </c>
      <c r="L12" s="24">
        <v>29.977967781431001</v>
      </c>
      <c r="M12" s="24">
        <v>60.986811364792999</v>
      </c>
      <c r="N12" s="24">
        <v>17.5699969420799</v>
      </c>
      <c r="O12" s="24">
        <v>275022.5</v>
      </c>
      <c r="P12" s="55">
        <v>2.1571745985753E-2</v>
      </c>
      <c r="Q12" s="25">
        <f t="shared" si="0"/>
        <v>2.6328896386141141</v>
      </c>
      <c r="R12" s="25">
        <f t="shared" si="1"/>
        <v>0.18669539498855989</v>
      </c>
      <c r="S12" s="25">
        <f t="shared" si="2"/>
        <v>1.9068471727023873E-3</v>
      </c>
      <c r="T12" s="53">
        <f t="shared" si="3"/>
        <v>1</v>
      </c>
      <c r="U12" s="25">
        <f t="shared" si="4"/>
        <v>-1.6661147023109706</v>
      </c>
      <c r="V12" s="26">
        <f t="shared" si="5"/>
        <v>-6.2623040957418006</v>
      </c>
      <c r="W12" s="25">
        <f t="shared" si="6"/>
        <v>0</v>
      </c>
      <c r="X12" s="25">
        <f t="shared" si="7"/>
        <v>524.42587655454224</v>
      </c>
      <c r="Y12" s="25">
        <f t="shared" si="8"/>
        <v>295.87561689497426</v>
      </c>
      <c r="Z12" s="25">
        <f t="shared" si="9"/>
        <v>0.29587561689497427</v>
      </c>
    </row>
    <row r="13" spans="1:26" s="25" customFormat="1" ht="35.25" customHeight="1">
      <c r="A13" s="34">
        <v>3383</v>
      </c>
      <c r="B13" s="31" t="s">
        <v>15</v>
      </c>
      <c r="C13" s="31" t="s">
        <v>56</v>
      </c>
      <c r="D13" s="31" t="s">
        <v>18</v>
      </c>
      <c r="E13" s="32">
        <v>6</v>
      </c>
      <c r="F13" s="42">
        <v>4</v>
      </c>
      <c r="G13" s="40">
        <v>8</v>
      </c>
      <c r="H13" s="40">
        <v>6</v>
      </c>
      <c r="I13" s="41"/>
      <c r="J13" s="31" t="s">
        <v>45</v>
      </c>
      <c r="K13" s="24">
        <v>173.85318125003599</v>
      </c>
      <c r="L13" s="24">
        <v>30.576231046008498</v>
      </c>
      <c r="M13" s="24">
        <v>47.127892764411399</v>
      </c>
      <c r="N13" s="24">
        <v>28.907034363403302</v>
      </c>
      <c r="O13" s="24">
        <v>2190113.5</v>
      </c>
      <c r="P13" s="55">
        <v>1.11109236593108E-2</v>
      </c>
      <c r="Q13" s="25">
        <f t="shared" si="0"/>
        <v>3.6889657281965538</v>
      </c>
      <c r="R13" s="25">
        <f t="shared" si="1"/>
        <v>0.17587386567309171</v>
      </c>
      <c r="S13" s="25">
        <f t="shared" si="2"/>
        <v>6.7571986853386806E-4</v>
      </c>
      <c r="T13" s="53">
        <f t="shared" si="3"/>
        <v>0.2</v>
      </c>
      <c r="U13" s="25">
        <f t="shared" si="4"/>
        <v>-1.9542498363365546</v>
      </c>
      <c r="V13" s="26">
        <f t="shared" si="5"/>
        <v>-7.2997319634668782</v>
      </c>
      <c r="W13" s="25">
        <f t="shared" si="6"/>
        <v>-1.6094379124341003</v>
      </c>
      <c r="X13" s="25">
        <f t="shared" si="7"/>
        <v>1479.9032062942495</v>
      </c>
      <c r="Y13" s="25">
        <f t="shared" si="8"/>
        <v>834.94597365014192</v>
      </c>
      <c r="Z13" s="25">
        <f t="shared" si="9"/>
        <v>0.83494597365014189</v>
      </c>
    </row>
    <row r="14" spans="1:26" s="25" customFormat="1" ht="30" customHeight="1">
      <c r="A14" s="34">
        <v>3497</v>
      </c>
      <c r="B14" s="31" t="s">
        <v>13</v>
      </c>
      <c r="C14" s="31" t="s">
        <v>52</v>
      </c>
      <c r="D14" s="31" t="s">
        <v>13</v>
      </c>
      <c r="E14" s="32">
        <v>2</v>
      </c>
      <c r="F14" s="42">
        <v>3</v>
      </c>
      <c r="G14" s="40">
        <v>5</v>
      </c>
      <c r="H14" s="40">
        <v>6</v>
      </c>
      <c r="I14" s="40">
        <v>-2</v>
      </c>
      <c r="J14" s="33" t="s">
        <v>81</v>
      </c>
      <c r="K14" s="24">
        <v>180.90997466917</v>
      </c>
      <c r="L14" s="24">
        <v>34.460561406469502</v>
      </c>
      <c r="M14" s="24">
        <v>68.201386381317306</v>
      </c>
      <c r="N14" s="24">
        <v>26.300449796314702</v>
      </c>
      <c r="O14" s="24">
        <v>1066240</v>
      </c>
      <c r="P14" s="55">
        <v>7.12283331016411E-3</v>
      </c>
      <c r="Q14" s="25">
        <f t="shared" si="0"/>
        <v>2.652585002564221</v>
      </c>
      <c r="R14" s="25">
        <f t="shared" si="1"/>
        <v>0.19048458477476168</v>
      </c>
      <c r="S14" s="25">
        <f t="shared" si="2"/>
        <v>9.6843954383328643E-4</v>
      </c>
      <c r="T14" s="53">
        <f t="shared" si="3"/>
        <v>0.33333333333333331</v>
      </c>
      <c r="U14" s="25">
        <f t="shared" si="4"/>
        <v>-2.1473472189746756</v>
      </c>
      <c r="V14" s="26">
        <f t="shared" si="5"/>
        <v>-6.9398244995402525</v>
      </c>
      <c r="W14" s="25">
        <f t="shared" si="6"/>
        <v>-1.0986122886681098</v>
      </c>
      <c r="X14" s="25">
        <f t="shared" si="7"/>
        <v>1032.5889792168034</v>
      </c>
      <c r="Y14" s="25">
        <f t="shared" si="8"/>
        <v>582.57594616033111</v>
      </c>
      <c r="Z14" s="25">
        <f t="shared" si="9"/>
        <v>0.58257594616033115</v>
      </c>
    </row>
    <row r="15" spans="1:26" s="25" customFormat="1" ht="20.100000000000001" customHeight="1">
      <c r="A15" s="34">
        <v>3534</v>
      </c>
      <c r="B15" s="31" t="s">
        <v>18</v>
      </c>
      <c r="C15" s="31" t="s">
        <v>50</v>
      </c>
      <c r="D15" s="31" t="s">
        <v>15</v>
      </c>
      <c r="E15" s="32">
        <v>2</v>
      </c>
      <c r="F15" s="42">
        <v>3</v>
      </c>
      <c r="G15" s="40">
        <v>6</v>
      </c>
      <c r="H15" s="40">
        <v>6</v>
      </c>
      <c r="I15" s="40">
        <v>-1</v>
      </c>
      <c r="J15" s="35" t="s">
        <v>71</v>
      </c>
      <c r="K15" s="24">
        <v>157.87677359051301</v>
      </c>
      <c r="L15" s="24">
        <v>39.731015559374498</v>
      </c>
      <c r="M15" s="24">
        <v>53.128927583148801</v>
      </c>
      <c r="N15" s="24">
        <v>20.906849980793901</v>
      </c>
      <c r="O15" s="24">
        <v>186330</v>
      </c>
      <c r="P15" s="55">
        <v>2.3547150446115502E-2</v>
      </c>
      <c r="Q15" s="25">
        <f t="shared" si="0"/>
        <v>2.9715783994214795</v>
      </c>
      <c r="R15" s="25">
        <f t="shared" si="1"/>
        <v>0.25165839569552728</v>
      </c>
      <c r="S15" s="25">
        <f t="shared" si="2"/>
        <v>2.3166403053805087E-3</v>
      </c>
      <c r="T15" s="53">
        <f t="shared" si="3"/>
        <v>1</v>
      </c>
      <c r="U15" s="25">
        <f t="shared" si="4"/>
        <v>-1.6280616414185487</v>
      </c>
      <c r="V15" s="26">
        <f t="shared" si="5"/>
        <v>-6.0676372871107294</v>
      </c>
      <c r="W15" s="25">
        <f t="shared" si="6"/>
        <v>0</v>
      </c>
      <c r="X15" s="25">
        <f t="shared" si="7"/>
        <v>431.65958810155024</v>
      </c>
      <c r="Y15" s="25">
        <f t="shared" si="8"/>
        <v>243.53784324540965</v>
      </c>
      <c r="Z15" s="25">
        <f t="shared" si="9"/>
        <v>0.24353784324540964</v>
      </c>
    </row>
    <row r="16" spans="1:26" s="25" customFormat="1" ht="20.100000000000001" customHeight="1">
      <c r="A16" s="34">
        <v>3536</v>
      </c>
      <c r="B16" s="31" t="s">
        <v>16</v>
      </c>
      <c r="C16" s="31" t="s">
        <v>50</v>
      </c>
      <c r="D16" s="31" t="s">
        <v>22</v>
      </c>
      <c r="E16" s="32">
        <v>2</v>
      </c>
      <c r="F16" s="42">
        <v>3</v>
      </c>
      <c r="G16" s="40">
        <v>6</v>
      </c>
      <c r="H16" s="40">
        <v>6</v>
      </c>
      <c r="I16" s="41"/>
      <c r="J16" s="33" t="s">
        <v>81</v>
      </c>
      <c r="K16" s="24">
        <v>203.12628685940999</v>
      </c>
      <c r="L16" s="24">
        <v>29.124668947074198</v>
      </c>
      <c r="M16" s="24">
        <v>37.973747613465399</v>
      </c>
      <c r="N16" s="24">
        <v>16.754194789673601</v>
      </c>
      <c r="O16" s="24">
        <v>387471</v>
      </c>
      <c r="P16" s="55">
        <v>4.91465415952849E-2</v>
      </c>
      <c r="Q16" s="25">
        <f t="shared" si="0"/>
        <v>5.3491240560987432</v>
      </c>
      <c r="R16" s="25">
        <f t="shared" si="1"/>
        <v>0.14338207721599464</v>
      </c>
      <c r="S16" s="25">
        <f t="shared" si="2"/>
        <v>1.606498773077394E-3</v>
      </c>
      <c r="T16" s="53">
        <f t="shared" si="3"/>
        <v>0.5</v>
      </c>
      <c r="U16" s="25">
        <f t="shared" si="4"/>
        <v>-1.3085070377286681</v>
      </c>
      <c r="V16" s="26">
        <f t="shared" si="5"/>
        <v>-6.433698143132653</v>
      </c>
      <c r="W16" s="25">
        <f t="shared" si="6"/>
        <v>-0.69314718055994529</v>
      </c>
      <c r="X16" s="25">
        <f t="shared" si="7"/>
        <v>622.47168610307085</v>
      </c>
      <c r="Y16" s="25">
        <f t="shared" si="8"/>
        <v>351.19204135276124</v>
      </c>
      <c r="Z16" s="25">
        <f t="shared" si="9"/>
        <v>0.35119204135276122</v>
      </c>
    </row>
    <row r="17" spans="1:26" s="25" customFormat="1" ht="20.100000000000001" customHeight="1">
      <c r="A17" s="34">
        <v>3537</v>
      </c>
      <c r="B17" s="31" t="s">
        <v>39</v>
      </c>
      <c r="C17" s="31" t="s">
        <v>52</v>
      </c>
      <c r="D17" s="31" t="s">
        <v>23</v>
      </c>
      <c r="E17" s="32">
        <v>2</v>
      </c>
      <c r="F17" s="42">
        <v>5</v>
      </c>
      <c r="G17" s="40">
        <v>6</v>
      </c>
      <c r="H17" s="40">
        <v>6</v>
      </c>
      <c r="I17" s="41"/>
      <c r="J17" s="31" t="s">
        <v>45</v>
      </c>
      <c r="K17" s="24">
        <v>207.775367716837</v>
      </c>
      <c r="L17" s="24">
        <v>36.193282148011399</v>
      </c>
      <c r="M17" s="24">
        <v>36.726830531463698</v>
      </c>
      <c r="N17" s="24">
        <v>18.823763493633098</v>
      </c>
      <c r="O17" s="24">
        <v>165438</v>
      </c>
      <c r="P17" s="55">
        <v>-2.8112753485681999E-2</v>
      </c>
      <c r="Q17" s="25">
        <f t="shared" si="0"/>
        <v>5.657318225127999</v>
      </c>
      <c r="R17" s="25">
        <f t="shared" si="1"/>
        <v>0.174194287541037</v>
      </c>
      <c r="S17" s="25">
        <f t="shared" si="2"/>
        <v>2.458568790985122E-3</v>
      </c>
      <c r="T17" s="53">
        <f t="shared" si="3"/>
        <v>2</v>
      </c>
      <c r="U17" s="25" t="e">
        <f t="shared" si="4"/>
        <v>#NUM!</v>
      </c>
      <c r="V17" s="26">
        <f t="shared" si="5"/>
        <v>-6.008175890627137</v>
      </c>
      <c r="W17" s="25">
        <f t="shared" si="6"/>
        <v>0.69314718055994529</v>
      </c>
      <c r="X17" s="25">
        <f t="shared" si="7"/>
        <v>406.74070364299661</v>
      </c>
      <c r="Y17" s="25">
        <f t="shared" si="8"/>
        <v>229.47886820026361</v>
      </c>
      <c r="Z17" s="25">
        <f t="shared" si="9"/>
        <v>0.22947886820026361</v>
      </c>
    </row>
    <row r="18" spans="1:26" s="25" customFormat="1" ht="20.100000000000001" customHeight="1">
      <c r="A18" s="34">
        <v>3437</v>
      </c>
      <c r="B18" s="31" t="s">
        <v>17</v>
      </c>
      <c r="C18" s="31" t="s">
        <v>50</v>
      </c>
      <c r="D18" s="31" t="s">
        <v>16</v>
      </c>
      <c r="E18" s="32">
        <v>2</v>
      </c>
      <c r="F18" s="42">
        <v>2</v>
      </c>
      <c r="G18" s="40">
        <v>4</v>
      </c>
      <c r="H18" s="40">
        <v>6</v>
      </c>
      <c r="I18" s="40">
        <v>-3</v>
      </c>
      <c r="J18" s="33" t="s">
        <v>81</v>
      </c>
      <c r="K18" s="24">
        <v>112.870784932817</v>
      </c>
      <c r="L18" s="24">
        <v>20.7578419257656</v>
      </c>
      <c r="M18" s="24">
        <v>59.528916416058699</v>
      </c>
      <c r="N18" s="24">
        <v>17.2935299505438</v>
      </c>
      <c r="O18" s="24">
        <v>1719995</v>
      </c>
      <c r="P18" s="55">
        <v>1.11718288893218E-2</v>
      </c>
      <c r="Q18" s="25">
        <f t="shared" si="0"/>
        <v>1.8960665123474116</v>
      </c>
      <c r="R18" s="25">
        <f t="shared" si="1"/>
        <v>0.1839080142671205</v>
      </c>
      <c r="S18" s="25">
        <f t="shared" si="2"/>
        <v>7.6249395993993336E-4</v>
      </c>
      <c r="T18" s="53">
        <f t="shared" si="3"/>
        <v>0.25</v>
      </c>
      <c r="U18" s="25">
        <f t="shared" si="4"/>
        <v>-1.9518757246889369</v>
      </c>
      <c r="V18" s="26">
        <f t="shared" si="5"/>
        <v>-7.1789159709043329</v>
      </c>
      <c r="W18" s="25">
        <f t="shared" si="6"/>
        <v>-1.3862943611198906</v>
      </c>
      <c r="X18" s="25">
        <f t="shared" si="7"/>
        <v>1311.4857986268855</v>
      </c>
      <c r="Y18" s="25">
        <f t="shared" si="8"/>
        <v>739.92662655609922</v>
      </c>
      <c r="Z18" s="25">
        <f t="shared" si="9"/>
        <v>0.7399266265560992</v>
      </c>
    </row>
    <row r="19" spans="1:26" s="25" customFormat="1" ht="20.100000000000001" customHeight="1">
      <c r="A19" s="34">
        <v>3440</v>
      </c>
      <c r="B19" s="31" t="s">
        <v>16</v>
      </c>
      <c r="C19" s="31" t="s">
        <v>46</v>
      </c>
      <c r="D19" s="31" t="s">
        <v>22</v>
      </c>
      <c r="E19" s="32">
        <v>5</v>
      </c>
      <c r="F19" s="42">
        <v>5</v>
      </c>
      <c r="G19" s="40">
        <v>8</v>
      </c>
      <c r="H19" s="40">
        <v>7</v>
      </c>
      <c r="I19" s="40">
        <v>-2</v>
      </c>
      <c r="J19" s="33" t="s">
        <v>81</v>
      </c>
      <c r="K19" s="24">
        <v>182.554480549506</v>
      </c>
      <c r="L19" s="24">
        <v>31.908920670953499</v>
      </c>
      <c r="M19" s="24">
        <v>70.235901211438403</v>
      </c>
      <c r="N19" s="24">
        <v>21.543730472058002</v>
      </c>
      <c r="O19" s="24">
        <v>190262.5</v>
      </c>
      <c r="P19" s="55">
        <v>2.2690296618097801E-2</v>
      </c>
      <c r="Q19" s="25">
        <f t="shared" si="0"/>
        <v>2.5991619300212769</v>
      </c>
      <c r="R19" s="25">
        <f t="shared" si="1"/>
        <v>0.17479122163917685</v>
      </c>
      <c r="S19" s="25">
        <f t="shared" si="2"/>
        <v>2.2925741992004885E-3</v>
      </c>
      <c r="T19" s="53">
        <f t="shared" si="3"/>
        <v>0.5</v>
      </c>
      <c r="U19" s="25">
        <f t="shared" si="4"/>
        <v>-1.6441598267787436</v>
      </c>
      <c r="V19" s="26">
        <f t="shared" si="5"/>
        <v>-6.0780799882939611</v>
      </c>
      <c r="W19" s="25">
        <f t="shared" si="6"/>
        <v>-0.69314718055994529</v>
      </c>
      <c r="X19" s="25">
        <f t="shared" si="7"/>
        <v>436.19089857538296</v>
      </c>
      <c r="Y19" s="25">
        <f t="shared" si="8"/>
        <v>246.09436141456692</v>
      </c>
      <c r="Z19" s="25">
        <f t="shared" si="9"/>
        <v>0.24609436141456692</v>
      </c>
    </row>
    <row r="20" spans="1:26" s="25" customFormat="1" ht="20.100000000000001" customHeight="1">
      <c r="A20" s="34">
        <v>3645</v>
      </c>
      <c r="B20" s="31" t="s">
        <v>16</v>
      </c>
      <c r="C20" s="31" t="s">
        <v>49</v>
      </c>
      <c r="D20" s="31" t="s">
        <v>18</v>
      </c>
      <c r="E20" s="32">
        <v>5</v>
      </c>
      <c r="F20" s="42">
        <v>3</v>
      </c>
      <c r="G20" s="40">
        <v>8</v>
      </c>
      <c r="H20" s="40">
        <v>6</v>
      </c>
      <c r="I20" s="40">
        <v>-1</v>
      </c>
      <c r="J20" s="33" t="s">
        <v>81</v>
      </c>
      <c r="K20" s="24">
        <v>204.18233084364499</v>
      </c>
      <c r="L20" s="24">
        <v>21.003196450893199</v>
      </c>
      <c r="M20" s="24">
        <v>67.754919293225797</v>
      </c>
      <c r="N20" s="24">
        <v>22.774604060085998</v>
      </c>
      <c r="O20" s="24">
        <v>1164078.5</v>
      </c>
      <c r="P20" s="55">
        <v>1.3879719214146199E-2</v>
      </c>
      <c r="Q20" s="25">
        <f t="shared" si="0"/>
        <v>3.013542529067101</v>
      </c>
      <c r="R20" s="25">
        <f t="shared" si="1"/>
        <v>0.10286490689038437</v>
      </c>
      <c r="S20" s="25">
        <f t="shared" si="2"/>
        <v>9.2684874445103042E-4</v>
      </c>
      <c r="T20" s="53">
        <f t="shared" si="3"/>
        <v>0.2</v>
      </c>
      <c r="U20" s="25">
        <f t="shared" si="4"/>
        <v>-1.8576193195425725</v>
      </c>
      <c r="V20" s="26">
        <f t="shared" si="5"/>
        <v>-6.9837201724310489</v>
      </c>
      <c r="W20" s="25">
        <f t="shared" si="6"/>
        <v>-1.6094379124341003</v>
      </c>
      <c r="X20" s="25">
        <f t="shared" si="7"/>
        <v>1078.9246961674387</v>
      </c>
      <c r="Y20" s="25">
        <f t="shared" si="8"/>
        <v>608.71807501009675</v>
      </c>
      <c r="Z20" s="25">
        <f t="shared" si="9"/>
        <v>0.60871807501009678</v>
      </c>
    </row>
    <row r="21" spans="1:26" s="25" customFormat="1" ht="20.100000000000001" customHeight="1">
      <c r="A21" s="34">
        <v>3708</v>
      </c>
      <c r="B21" s="31" t="s">
        <v>40</v>
      </c>
      <c r="C21" s="31" t="s">
        <v>56</v>
      </c>
      <c r="D21" s="31" t="s">
        <v>16</v>
      </c>
      <c r="E21" s="32">
        <v>3</v>
      </c>
      <c r="F21" s="42">
        <v>2</v>
      </c>
      <c r="G21" s="40">
        <v>7</v>
      </c>
      <c r="H21" s="40">
        <v>6</v>
      </c>
      <c r="I21" s="40">
        <v>-2</v>
      </c>
      <c r="J21" s="35" t="s">
        <v>71</v>
      </c>
      <c r="K21" s="24">
        <v>170.754091254234</v>
      </c>
      <c r="L21" s="24">
        <v>26.704300520605901</v>
      </c>
      <c r="M21" s="24">
        <v>87.202233475478295</v>
      </c>
      <c r="N21" s="24">
        <v>25.962265206576301</v>
      </c>
      <c r="O21" s="24">
        <v>1190998.5</v>
      </c>
      <c r="P21" s="55">
        <v>5.11394194385418E-3</v>
      </c>
      <c r="Q21" s="25">
        <f t="shared" si="0"/>
        <v>1.9581389655833861</v>
      </c>
      <c r="R21" s="25">
        <f t="shared" si="1"/>
        <v>0.15639039934244472</v>
      </c>
      <c r="S21" s="25">
        <f t="shared" si="2"/>
        <v>9.1631414919940597E-4</v>
      </c>
      <c r="T21" s="53">
        <f t="shared" si="3"/>
        <v>0.25</v>
      </c>
      <c r="U21" s="25">
        <f t="shared" si="4"/>
        <v>-2.2912442066199858</v>
      </c>
      <c r="V21" s="26">
        <f t="shared" si="5"/>
        <v>-6.9951512944454004</v>
      </c>
      <c r="W21" s="25">
        <f t="shared" si="6"/>
        <v>-1.3862943611198906</v>
      </c>
      <c r="X21" s="25">
        <f t="shared" si="7"/>
        <v>1091.3287772252686</v>
      </c>
      <c r="Y21" s="25">
        <f t="shared" si="8"/>
        <v>615.71632833640649</v>
      </c>
      <c r="Z21" s="25">
        <f t="shared" si="9"/>
        <v>0.61571632833640655</v>
      </c>
    </row>
    <row r="22" spans="1:26" s="25" customFormat="1" ht="30.75" customHeight="1">
      <c r="A22" s="34">
        <v>3710</v>
      </c>
      <c r="B22" s="31" t="s">
        <v>16</v>
      </c>
      <c r="C22" s="31" t="s">
        <v>46</v>
      </c>
      <c r="D22" s="31" t="s">
        <v>22</v>
      </c>
      <c r="E22" s="32">
        <v>7</v>
      </c>
      <c r="F22" s="42">
        <v>5</v>
      </c>
      <c r="G22" s="40">
        <v>7</v>
      </c>
      <c r="H22" s="40">
        <v>7</v>
      </c>
      <c r="I22" s="41"/>
      <c r="J22" s="33" t="s">
        <v>81</v>
      </c>
      <c r="K22" s="24">
        <v>178.07709155885499</v>
      </c>
      <c r="L22" s="24">
        <v>29.379773865825399</v>
      </c>
      <c r="M22" s="24">
        <v>59.391558119593</v>
      </c>
      <c r="N22" s="24">
        <v>22.372531399858801</v>
      </c>
      <c r="O22" s="24">
        <v>972932</v>
      </c>
      <c r="P22" s="55">
        <v>1.16744318436518E-2</v>
      </c>
      <c r="Q22" s="25">
        <f t="shared" si="0"/>
        <v>2.9983569584127174</v>
      </c>
      <c r="R22" s="25">
        <f t="shared" si="1"/>
        <v>0.16498345524761279</v>
      </c>
      <c r="S22" s="25">
        <f t="shared" si="2"/>
        <v>1.0138151017146358E-3</v>
      </c>
      <c r="T22" s="53">
        <f t="shared" si="3"/>
        <v>0.5</v>
      </c>
      <c r="U22" s="25">
        <f t="shared" si="4"/>
        <v>-1.9327642459370942</v>
      </c>
      <c r="V22" s="26">
        <f t="shared" si="5"/>
        <v>-6.8940347358891758</v>
      </c>
      <c r="W22" s="25">
        <f t="shared" si="6"/>
        <v>-0.69314718055994529</v>
      </c>
      <c r="X22" s="25">
        <f t="shared" si="7"/>
        <v>986.37315454142401</v>
      </c>
      <c r="Y22" s="25">
        <f t="shared" si="8"/>
        <v>556.50145928341271</v>
      </c>
      <c r="Z22" s="25">
        <f t="shared" si="9"/>
        <v>0.55650145928341277</v>
      </c>
    </row>
    <row r="23" spans="1:26" s="25" customFormat="1" ht="27.75" customHeight="1">
      <c r="A23" s="34" t="s">
        <v>26</v>
      </c>
      <c r="B23" s="31" t="s">
        <v>13</v>
      </c>
      <c r="C23" s="31" t="s">
        <v>58</v>
      </c>
      <c r="D23" s="31" t="s">
        <v>22</v>
      </c>
      <c r="E23" s="32">
        <v>2</v>
      </c>
      <c r="F23" s="42">
        <v>5</v>
      </c>
      <c r="G23" s="40">
        <v>9</v>
      </c>
      <c r="H23" s="40">
        <v>7</v>
      </c>
      <c r="I23" s="41"/>
      <c r="J23" s="33" t="s">
        <v>81</v>
      </c>
      <c r="K23" s="24">
        <v>193.51811767279199</v>
      </c>
      <c r="L23" s="24">
        <v>25.9560157022947</v>
      </c>
      <c r="M23" s="24">
        <v>56.062621984435502</v>
      </c>
      <c r="N23" s="24">
        <v>20.829580828232299</v>
      </c>
      <c r="O23" s="24">
        <v>875336.5</v>
      </c>
      <c r="P23" s="55">
        <v>1.34283221908831E-2</v>
      </c>
      <c r="Q23" s="25">
        <f t="shared" si="0"/>
        <v>3.4518206752177565</v>
      </c>
      <c r="R23" s="25">
        <f t="shared" si="1"/>
        <v>0.13412705753051066</v>
      </c>
      <c r="S23" s="25">
        <f t="shared" si="2"/>
        <v>1.0688394648454705E-3</v>
      </c>
      <c r="T23" s="53">
        <f t="shared" si="3"/>
        <v>0.5</v>
      </c>
      <c r="U23" s="25">
        <f t="shared" si="4"/>
        <v>-1.8719782471049911</v>
      </c>
      <c r="V23" s="26">
        <f t="shared" si="5"/>
        <v>-6.841181831419842</v>
      </c>
      <c r="W23" s="25">
        <f t="shared" si="6"/>
        <v>-0.69314718055994529</v>
      </c>
      <c r="X23" s="25">
        <f t="shared" si="7"/>
        <v>935.59419621970721</v>
      </c>
      <c r="Y23" s="25">
        <f t="shared" si="8"/>
        <v>527.85249993489435</v>
      </c>
      <c r="Z23" s="25">
        <f t="shared" si="9"/>
        <v>0.52785249993489436</v>
      </c>
    </row>
    <row r="24" spans="1:26" s="25" customFormat="1" ht="20.100000000000001" customHeight="1">
      <c r="A24" s="34" t="s">
        <v>27</v>
      </c>
      <c r="B24" s="31" t="s">
        <v>13</v>
      </c>
      <c r="C24" s="31" t="s">
        <v>52</v>
      </c>
      <c r="D24" s="31" t="s">
        <v>22</v>
      </c>
      <c r="E24" s="32">
        <v>2</v>
      </c>
      <c r="F24" s="42">
        <v>5</v>
      </c>
      <c r="G24" s="40">
        <v>7</v>
      </c>
      <c r="H24" s="40">
        <v>7</v>
      </c>
      <c r="I24" s="40">
        <v>-1</v>
      </c>
      <c r="J24" s="33" t="s">
        <v>81</v>
      </c>
      <c r="K24" s="24">
        <v>203.59076992242299</v>
      </c>
      <c r="L24" s="24">
        <v>27.755809983491201</v>
      </c>
      <c r="M24" s="24">
        <v>45.6121812386993</v>
      </c>
      <c r="N24" s="24">
        <v>20.086866557878199</v>
      </c>
      <c r="O24" s="24">
        <v>496249.5</v>
      </c>
      <c r="P24" s="55">
        <v>3.2797468628165898E-2</v>
      </c>
      <c r="Q24" s="25">
        <f t="shared" si="0"/>
        <v>4.4635175164499259</v>
      </c>
      <c r="R24" s="25">
        <f t="shared" si="1"/>
        <v>0.13633137687954802</v>
      </c>
      <c r="S24" s="25">
        <f t="shared" si="2"/>
        <v>1.4195475971128611E-3</v>
      </c>
      <c r="T24" s="53">
        <f t="shared" si="3"/>
        <v>0.5</v>
      </c>
      <c r="U24" s="25">
        <f t="shared" si="4"/>
        <v>-1.4841596746798911</v>
      </c>
      <c r="V24" s="26">
        <f t="shared" si="5"/>
        <v>-6.5574170517131769</v>
      </c>
      <c r="W24" s="25">
        <f t="shared" si="6"/>
        <v>-0.69314718055994529</v>
      </c>
      <c r="X24" s="25">
        <f t="shared" si="7"/>
        <v>704.4497852934586</v>
      </c>
      <c r="Y24" s="25">
        <f t="shared" si="8"/>
        <v>397.44323099502276</v>
      </c>
      <c r="Z24" s="25">
        <f t="shared" si="9"/>
        <v>0.39744323099502277</v>
      </c>
    </row>
    <row r="25" spans="1:26" s="25" customFormat="1" ht="32.1" customHeight="1">
      <c r="A25" s="34">
        <v>3713</v>
      </c>
      <c r="B25" s="31" t="s">
        <v>20</v>
      </c>
      <c r="C25" s="31" t="s">
        <v>52</v>
      </c>
      <c r="D25" s="31" t="s">
        <v>22</v>
      </c>
      <c r="E25" s="32">
        <v>2</v>
      </c>
      <c r="F25" s="42">
        <v>3</v>
      </c>
      <c r="G25" s="40">
        <v>7</v>
      </c>
      <c r="H25" s="40">
        <v>7</v>
      </c>
      <c r="I25" s="40">
        <v>-1</v>
      </c>
      <c r="J25" s="35" t="s">
        <v>71</v>
      </c>
      <c r="K25" s="24">
        <v>190.19857640946501</v>
      </c>
      <c r="L25" s="24">
        <v>31.3299778678204</v>
      </c>
      <c r="M25" s="24">
        <v>55.6619731310996</v>
      </c>
      <c r="N25" s="24">
        <v>19.862751413013601</v>
      </c>
      <c r="O25" s="24">
        <v>498724.5</v>
      </c>
      <c r="P25" s="55">
        <v>5.6031645734816997E-2</v>
      </c>
      <c r="Q25" s="25">
        <f t="shared" si="0"/>
        <v>3.4170290004181827</v>
      </c>
      <c r="R25" s="25">
        <f t="shared" si="1"/>
        <v>0.16472246248769137</v>
      </c>
      <c r="S25" s="25">
        <f t="shared" si="2"/>
        <v>1.4160208503015393E-3</v>
      </c>
      <c r="T25" s="53">
        <f t="shared" si="3"/>
        <v>0.5</v>
      </c>
      <c r="U25" s="25">
        <f t="shared" si="4"/>
        <v>-1.2515666214543808</v>
      </c>
      <c r="V25" s="26">
        <f t="shared" si="5"/>
        <v>-6.5599045590297953</v>
      </c>
      <c r="W25" s="25">
        <f t="shared" si="6"/>
        <v>-0.69314718055994529</v>
      </c>
      <c r="X25" s="25">
        <f t="shared" si="7"/>
        <v>706.20429055621014</v>
      </c>
      <c r="Y25" s="25">
        <f t="shared" si="8"/>
        <v>398.43310458854683</v>
      </c>
      <c r="Z25" s="25">
        <f t="shared" si="9"/>
        <v>0.39843310458854686</v>
      </c>
    </row>
    <row r="26" spans="1:26" s="25" customFormat="1" ht="30" customHeight="1">
      <c r="A26" s="34">
        <v>3714</v>
      </c>
      <c r="B26" s="31" t="s">
        <v>17</v>
      </c>
      <c r="C26" s="31" t="s">
        <v>48</v>
      </c>
      <c r="D26" s="31" t="s">
        <v>13</v>
      </c>
      <c r="E26" s="32">
        <v>4</v>
      </c>
      <c r="F26" s="42">
        <v>5.5</v>
      </c>
      <c r="G26" s="40">
        <v>11</v>
      </c>
      <c r="H26" s="40">
        <v>7</v>
      </c>
      <c r="I26" s="41"/>
      <c r="J26" s="31" t="s">
        <v>45</v>
      </c>
      <c r="K26" s="24">
        <v>171.59012014360701</v>
      </c>
      <c r="L26" s="24">
        <v>26.342004816021799</v>
      </c>
      <c r="M26" s="24">
        <v>71.692650614138401</v>
      </c>
      <c r="N26" s="24">
        <v>25.814217534914</v>
      </c>
      <c r="O26" s="24">
        <v>1285074.5</v>
      </c>
      <c r="P26" s="55">
        <v>7.9360051107826204E-3</v>
      </c>
      <c r="Q26" s="25">
        <f t="shared" si="0"/>
        <v>2.3934129743247068</v>
      </c>
      <c r="R26" s="25">
        <f t="shared" si="1"/>
        <v>0.15351702530411238</v>
      </c>
      <c r="S26" s="25">
        <f t="shared" si="2"/>
        <v>8.8213661148867236E-4</v>
      </c>
      <c r="T26" s="53">
        <f t="shared" si="3"/>
        <v>0.33333333333333331</v>
      </c>
      <c r="U26" s="25">
        <f t="shared" si="4"/>
        <v>-2.1003980611683968</v>
      </c>
      <c r="V26" s="26">
        <f t="shared" si="5"/>
        <v>-7.0331636256422865</v>
      </c>
      <c r="W26" s="25">
        <f t="shared" si="6"/>
        <v>-1.0986122886681098</v>
      </c>
      <c r="X26" s="25">
        <f t="shared" si="7"/>
        <v>1133.6112649404997</v>
      </c>
      <c r="Y26" s="25">
        <f t="shared" si="8"/>
        <v>639.57166747182578</v>
      </c>
      <c r="Z26" s="25">
        <f t="shared" si="9"/>
        <v>0.63957166747182581</v>
      </c>
    </row>
    <row r="27" spans="1:26" s="25" customFormat="1" ht="20.100000000000001" customHeight="1">
      <c r="A27" s="34">
        <v>3404</v>
      </c>
      <c r="B27" s="31" t="s">
        <v>41</v>
      </c>
      <c r="C27" s="31" t="s">
        <v>50</v>
      </c>
      <c r="D27" s="31" t="s">
        <v>22</v>
      </c>
      <c r="E27" s="32">
        <v>2</v>
      </c>
      <c r="F27" s="42">
        <v>3</v>
      </c>
      <c r="G27" s="40">
        <v>4</v>
      </c>
      <c r="H27" s="40">
        <v>6</v>
      </c>
      <c r="I27" s="40">
        <v>-3</v>
      </c>
      <c r="J27" s="35" t="s">
        <v>71</v>
      </c>
      <c r="K27" s="24">
        <v>121.73159960134601</v>
      </c>
      <c r="L27" s="24">
        <v>27.8427133742262</v>
      </c>
      <c r="M27" s="24">
        <v>62.501401722651899</v>
      </c>
      <c r="N27" s="24">
        <v>20.102205359605801</v>
      </c>
      <c r="O27" s="24">
        <v>1068708.5</v>
      </c>
      <c r="P27" s="55">
        <v>9.7966101600302294E-3</v>
      </c>
      <c r="Q27" s="25">
        <f t="shared" si="0"/>
        <v>1.9476619123124044</v>
      </c>
      <c r="R27" s="25">
        <f t="shared" si="1"/>
        <v>0.22872215156464878</v>
      </c>
      <c r="S27" s="25">
        <f t="shared" si="2"/>
        <v>9.6732044772015026E-4</v>
      </c>
      <c r="T27" s="53">
        <f t="shared" si="3"/>
        <v>0.5</v>
      </c>
      <c r="U27" s="25">
        <f t="shared" si="4"/>
        <v>-2.0089241736410446</v>
      </c>
      <c r="V27" s="26">
        <f t="shared" si="5"/>
        <v>-6.9409807340349152</v>
      </c>
      <c r="W27" s="25">
        <f t="shared" si="6"/>
        <v>-0.69314718055994529</v>
      </c>
      <c r="X27" s="25">
        <f t="shared" si="7"/>
        <v>1033.7835847023302</v>
      </c>
      <c r="Y27" s="25">
        <f t="shared" si="8"/>
        <v>583.24993013171434</v>
      </c>
      <c r="Z27" s="25">
        <f t="shared" si="9"/>
        <v>0.58324993013171433</v>
      </c>
    </row>
    <row r="28" spans="1:26" s="25" customFormat="1" ht="31.5" customHeight="1">
      <c r="A28" s="34">
        <v>3487</v>
      </c>
      <c r="B28" s="31" t="s">
        <v>13</v>
      </c>
      <c r="C28" s="31" t="s">
        <v>48</v>
      </c>
      <c r="D28" s="31" t="s">
        <v>23</v>
      </c>
      <c r="E28" s="32">
        <v>3</v>
      </c>
      <c r="F28" s="42">
        <v>3</v>
      </c>
      <c r="G28" s="40">
        <v>4</v>
      </c>
      <c r="H28" s="40">
        <v>6</v>
      </c>
      <c r="I28" s="40">
        <v>-2</v>
      </c>
      <c r="J28" s="33" t="s">
        <v>81</v>
      </c>
      <c r="K28" s="24">
        <v>163.683251461483</v>
      </c>
      <c r="L28" s="24">
        <v>38.560509506611801</v>
      </c>
      <c r="M28" s="24">
        <v>59.081789323710403</v>
      </c>
      <c r="N28" s="24">
        <v>20.648522077181099</v>
      </c>
      <c r="O28" s="24">
        <v>62285</v>
      </c>
      <c r="P28" s="55">
        <v>5.5667179385471902E-2</v>
      </c>
      <c r="Q28" s="25">
        <f t="shared" si="0"/>
        <v>2.7704518318607265</v>
      </c>
      <c r="R28" s="25">
        <f t="shared" si="1"/>
        <v>0.23558005576206212</v>
      </c>
      <c r="S28" s="25">
        <f t="shared" si="2"/>
        <v>4.0068978014381178E-3</v>
      </c>
      <c r="T28" s="53">
        <f t="shared" si="3"/>
        <v>2</v>
      </c>
      <c r="U28" s="25">
        <f t="shared" si="4"/>
        <v>-1.2544007835135924</v>
      </c>
      <c r="V28" s="26">
        <f t="shared" si="5"/>
        <v>-5.5197379526600967</v>
      </c>
      <c r="W28" s="25">
        <f t="shared" si="6"/>
        <v>0.69314718055994529</v>
      </c>
      <c r="X28" s="25">
        <f t="shared" si="7"/>
        <v>249.56962956257317</v>
      </c>
      <c r="Y28" s="25">
        <f t="shared" si="8"/>
        <v>140.80458536907597</v>
      </c>
      <c r="Z28" s="25">
        <f t="shared" si="9"/>
        <v>0.14080458536907597</v>
      </c>
    </row>
    <row r="29" spans="1:26" s="25" customFormat="1" ht="26.25" customHeight="1">
      <c r="A29" s="34">
        <v>3406</v>
      </c>
      <c r="B29" s="31" t="s">
        <v>22</v>
      </c>
      <c r="C29" s="31" t="s">
        <v>70</v>
      </c>
      <c r="D29" s="31" t="s">
        <v>20</v>
      </c>
      <c r="E29" s="32">
        <v>2</v>
      </c>
      <c r="F29" s="42">
        <v>5</v>
      </c>
      <c r="G29" s="40">
        <v>6</v>
      </c>
      <c r="H29" s="40">
        <v>6</v>
      </c>
      <c r="I29" s="40">
        <v>-1</v>
      </c>
      <c r="J29" s="33" t="s">
        <v>81</v>
      </c>
      <c r="K29" s="24">
        <v>172.757162151957</v>
      </c>
      <c r="L29" s="24">
        <v>29.146303180557499</v>
      </c>
      <c r="M29" s="24">
        <v>80.598659455712607</v>
      </c>
      <c r="N29" s="24">
        <v>26.368715393895702</v>
      </c>
      <c r="O29" s="24">
        <v>1258504.5</v>
      </c>
      <c r="P29" s="55">
        <v>6.7823513347428999E-3</v>
      </c>
      <c r="Q29" s="25">
        <f t="shared" si="0"/>
        <v>2.1434247581609429</v>
      </c>
      <c r="R29" s="25">
        <f t="shared" si="1"/>
        <v>0.16871256055317951</v>
      </c>
      <c r="S29" s="25">
        <f t="shared" si="2"/>
        <v>8.9139996686986398E-4</v>
      </c>
      <c r="T29" s="53">
        <f t="shared" si="3"/>
        <v>0.66666666666666663</v>
      </c>
      <c r="U29" s="25">
        <f t="shared" si="4"/>
        <v>-2.1686197169483661</v>
      </c>
      <c r="V29" s="26">
        <f t="shared" si="5"/>
        <v>-7.0227173346182274</v>
      </c>
      <c r="W29" s="25">
        <f t="shared" si="6"/>
        <v>-0.40546510810816444</v>
      </c>
      <c r="X29" s="25">
        <f t="shared" si="7"/>
        <v>1121.8308696055747</v>
      </c>
      <c r="Y29" s="25">
        <f t="shared" si="8"/>
        <v>632.92529113378646</v>
      </c>
      <c r="Z29" s="25">
        <f t="shared" si="9"/>
        <v>0.63292529113378648</v>
      </c>
    </row>
    <row r="30" spans="1:26" s="25" customFormat="1" ht="33" customHeight="1">
      <c r="A30" s="34">
        <v>3355</v>
      </c>
      <c r="B30" s="31" t="s">
        <v>13</v>
      </c>
      <c r="C30" s="31" t="s">
        <v>64</v>
      </c>
      <c r="D30" s="31" t="s">
        <v>15</v>
      </c>
      <c r="E30" s="32">
        <v>2</v>
      </c>
      <c r="F30" s="42">
        <v>3</v>
      </c>
      <c r="G30" s="40">
        <v>5</v>
      </c>
      <c r="H30" s="40">
        <v>6</v>
      </c>
      <c r="I30" s="40">
        <v>-1</v>
      </c>
      <c r="J30" s="33" t="s">
        <v>81</v>
      </c>
      <c r="K30" s="24">
        <v>176.44797714329101</v>
      </c>
      <c r="L30" s="24">
        <v>29.307724487393401</v>
      </c>
      <c r="M30" s="24">
        <v>89.549317684609406</v>
      </c>
      <c r="N30" s="24">
        <v>28.568814272645302</v>
      </c>
      <c r="O30" s="24">
        <v>107571.5</v>
      </c>
      <c r="P30" s="55" t="s">
        <v>80</v>
      </c>
      <c r="Q30" s="25">
        <f t="shared" si="0"/>
        <v>1.9704000176164005</v>
      </c>
      <c r="R30" s="25">
        <f t="shared" si="1"/>
        <v>0.16609838753545469</v>
      </c>
      <c r="S30" s="25">
        <f t="shared" si="2"/>
        <v>3.0489576195221846E-3</v>
      </c>
      <c r="T30" s="53">
        <f t="shared" si="3"/>
        <v>1</v>
      </c>
      <c r="U30" s="25" t="e">
        <f t="shared" si="4"/>
        <v>#VALUE!</v>
      </c>
      <c r="V30" s="26">
        <f t="shared" si="5"/>
        <v>-5.7929555108685609</v>
      </c>
      <c r="W30" s="25">
        <f t="shared" si="6"/>
        <v>0</v>
      </c>
      <c r="X30" s="25">
        <f t="shared" si="7"/>
        <v>327.98094456843069</v>
      </c>
      <c r="Y30" s="25">
        <f t="shared" si="8"/>
        <v>185.04343252766265</v>
      </c>
      <c r="Z30" s="25">
        <f t="shared" si="9"/>
        <v>0.18504343252766264</v>
      </c>
    </row>
    <row r="31" spans="1:26" s="25" customFormat="1" ht="30.75" customHeight="1">
      <c r="A31" s="34">
        <v>3356</v>
      </c>
      <c r="B31" s="31" t="s">
        <v>38</v>
      </c>
      <c r="C31" s="31" t="s">
        <v>50</v>
      </c>
      <c r="D31" s="31" t="s">
        <v>15</v>
      </c>
      <c r="E31" s="32">
        <v>2</v>
      </c>
      <c r="F31" s="42">
        <v>5</v>
      </c>
      <c r="G31" s="40">
        <v>8</v>
      </c>
      <c r="H31" s="40">
        <v>6</v>
      </c>
      <c r="I31" s="41"/>
      <c r="J31" s="33" t="s">
        <v>81</v>
      </c>
      <c r="K31" s="24">
        <v>210.87936446933799</v>
      </c>
      <c r="L31" s="24">
        <v>27.7520827302999</v>
      </c>
      <c r="M31" s="24">
        <v>50.1853847472143</v>
      </c>
      <c r="N31" s="24">
        <v>20.6001414107306</v>
      </c>
      <c r="O31" s="24">
        <v>211662</v>
      </c>
      <c r="P31" s="55">
        <v>6.8336766376441899E-2</v>
      </c>
      <c r="Q31" s="25">
        <f t="shared" si="0"/>
        <v>4.2020075273218565</v>
      </c>
      <c r="R31" s="25">
        <f t="shared" si="1"/>
        <v>0.13160169938929739</v>
      </c>
      <c r="S31" s="25">
        <f t="shared" si="2"/>
        <v>2.173594629024399E-3</v>
      </c>
      <c r="T31" s="53">
        <f t="shared" si="3"/>
        <v>1</v>
      </c>
      <c r="U31" s="25">
        <f t="shared" si="4"/>
        <v>-1.1653455754069277</v>
      </c>
      <c r="V31" s="26">
        <f t="shared" si="5"/>
        <v>-6.1313729708597906</v>
      </c>
      <c r="W31" s="25">
        <f t="shared" si="6"/>
        <v>0</v>
      </c>
      <c r="X31" s="25">
        <f t="shared" si="7"/>
        <v>460.06738636856232</v>
      </c>
      <c r="Y31" s="25">
        <f t="shared" si="8"/>
        <v>259.56522711918387</v>
      </c>
      <c r="Z31" s="25">
        <f t="shared" si="9"/>
        <v>0.25956522711918389</v>
      </c>
    </row>
    <row r="32" spans="1:26" s="25" customFormat="1" ht="20.100000000000001" customHeight="1">
      <c r="A32" s="34">
        <v>3357</v>
      </c>
      <c r="B32" s="31" t="s">
        <v>42</v>
      </c>
      <c r="C32" s="31" t="s">
        <v>55</v>
      </c>
      <c r="D32" s="31" t="s">
        <v>20</v>
      </c>
      <c r="E32" s="32">
        <v>2</v>
      </c>
      <c r="F32" s="42">
        <v>3</v>
      </c>
      <c r="G32" s="40">
        <v>6</v>
      </c>
      <c r="H32" s="40">
        <v>6</v>
      </c>
      <c r="I32" s="41"/>
      <c r="J32" s="35" t="s">
        <v>71</v>
      </c>
      <c r="K32" s="24">
        <v>170.17093329117299</v>
      </c>
      <c r="L32" s="24">
        <v>30.150081665355799</v>
      </c>
      <c r="M32" s="24">
        <v>52.940777178943499</v>
      </c>
      <c r="N32" s="24">
        <v>21.897012213759101</v>
      </c>
      <c r="O32" s="24">
        <v>659815</v>
      </c>
      <c r="P32" s="55">
        <v>1.7461085368093699E-2</v>
      </c>
      <c r="Q32" s="25">
        <f t="shared" si="0"/>
        <v>3.2143640943536478</v>
      </c>
      <c r="R32" s="25">
        <f t="shared" si="1"/>
        <v>0.17717527360425969</v>
      </c>
      <c r="S32" s="25">
        <f t="shared" si="2"/>
        <v>1.2310874606587029E-3</v>
      </c>
      <c r="T32" s="53">
        <f t="shared" si="3"/>
        <v>0.66666666666666663</v>
      </c>
      <c r="U32" s="25">
        <f t="shared" si="4"/>
        <v>-1.7579287643690722</v>
      </c>
      <c r="V32" s="26">
        <f t="shared" si="5"/>
        <v>-6.6998573858400343</v>
      </c>
      <c r="W32" s="25">
        <f t="shared" si="6"/>
        <v>-0.40546510810816444</v>
      </c>
      <c r="X32" s="25">
        <f t="shared" si="7"/>
        <v>812.28997285452192</v>
      </c>
      <c r="Y32" s="25">
        <f t="shared" si="8"/>
        <v>458.28554150481102</v>
      </c>
      <c r="Z32" s="25">
        <f t="shared" si="9"/>
        <v>0.45828554150481104</v>
      </c>
    </row>
    <row r="33" spans="1:26" s="25" customFormat="1" ht="33" customHeight="1">
      <c r="A33" s="34">
        <v>3358</v>
      </c>
      <c r="B33" s="31" t="s">
        <v>13</v>
      </c>
      <c r="C33" s="31" t="s">
        <v>56</v>
      </c>
      <c r="D33" s="31" t="s">
        <v>22</v>
      </c>
      <c r="E33" s="32">
        <v>2</v>
      </c>
      <c r="F33" s="42">
        <v>4.5</v>
      </c>
      <c r="G33" s="40">
        <v>8</v>
      </c>
      <c r="H33" s="40">
        <v>6</v>
      </c>
      <c r="I33" s="40">
        <v>-1</v>
      </c>
      <c r="J33" s="31" t="s">
        <v>45</v>
      </c>
      <c r="K33" s="24">
        <v>160.119895325155</v>
      </c>
      <c r="L33" s="24">
        <v>29.5846302034277</v>
      </c>
      <c r="M33" s="24">
        <v>62.315850059333798</v>
      </c>
      <c r="N33" s="24">
        <v>24.1747127357424</v>
      </c>
      <c r="O33" s="24">
        <v>1052842.5</v>
      </c>
      <c r="P33" s="55">
        <v>8.2534377335686093E-3</v>
      </c>
      <c r="Q33" s="25">
        <f>K33/M33</f>
        <v>2.5694890653452926</v>
      </c>
      <c r="R33" s="25">
        <f t="shared" si="1"/>
        <v>0.18476548553413852</v>
      </c>
      <c r="S33" s="25">
        <f t="shared" si="2"/>
        <v>9.74581798457673E-4</v>
      </c>
      <c r="T33" s="53">
        <f t="shared" si="3"/>
        <v>0.5</v>
      </c>
      <c r="U33" s="25">
        <f t="shared" si="4"/>
        <v>-2.0833651208143134</v>
      </c>
      <c r="V33" s="26">
        <f t="shared" si="5"/>
        <v>-6.933502103639718</v>
      </c>
      <c r="W33" s="25">
        <f t="shared" si="6"/>
        <v>-0.69314718055994529</v>
      </c>
      <c r="X33" s="25">
        <f t="shared" si="7"/>
        <v>1026.0811371426726</v>
      </c>
      <c r="Y33" s="25">
        <f t="shared" si="8"/>
        <v>578.90428945073268</v>
      </c>
      <c r="Z33" s="25">
        <f t="shared" si="9"/>
        <v>0.57890428945073269</v>
      </c>
    </row>
    <row r="34" spans="1:26" s="25" customFormat="1" ht="20.100000000000001" customHeight="1">
      <c r="A34" s="34">
        <v>3566</v>
      </c>
      <c r="B34" s="31" t="s">
        <v>18</v>
      </c>
      <c r="C34" s="31" t="s">
        <v>48</v>
      </c>
      <c r="D34" s="31" t="s">
        <v>22</v>
      </c>
      <c r="E34" s="32">
        <v>3</v>
      </c>
      <c r="F34" s="42">
        <v>5</v>
      </c>
      <c r="G34" s="40">
        <v>9</v>
      </c>
      <c r="H34" s="40">
        <v>7</v>
      </c>
      <c r="I34" s="41"/>
      <c r="J34" s="33" t="s">
        <v>81</v>
      </c>
      <c r="K34" s="24">
        <v>133.21658166251001</v>
      </c>
      <c r="L34" s="24">
        <v>28.501222914870301</v>
      </c>
      <c r="M34" s="24">
        <v>47.3261762237534</v>
      </c>
      <c r="N34" s="24">
        <v>26.260499086484</v>
      </c>
      <c r="O34" s="24">
        <v>1443067</v>
      </c>
      <c r="P34" s="55">
        <v>8.0420208108237193E-3</v>
      </c>
      <c r="Q34" s="25">
        <f t="shared" si="0"/>
        <v>2.8148604491661318</v>
      </c>
      <c r="R34" s="25">
        <f t="shared" si="1"/>
        <v>0.21394651145662263</v>
      </c>
      <c r="S34" s="25">
        <f t="shared" si="2"/>
        <v>8.3244730628867448E-4</v>
      </c>
      <c r="T34" s="53">
        <f t="shared" si="3"/>
        <v>0.5</v>
      </c>
      <c r="U34" s="25">
        <f t="shared" si="4"/>
        <v>-2.0946348073815519</v>
      </c>
      <c r="V34" s="26">
        <f t="shared" si="5"/>
        <v>-7.0911406338622758</v>
      </c>
      <c r="W34" s="25">
        <f t="shared" si="6"/>
        <v>-0.69314718055994529</v>
      </c>
      <c r="X34" s="25">
        <f t="shared" si="7"/>
        <v>1201.2772369440786</v>
      </c>
      <c r="Y34" s="25">
        <f t="shared" si="8"/>
        <v>677.74810403687911</v>
      </c>
      <c r="Z34" s="25">
        <f t="shared" si="9"/>
        <v>0.67774810403687913</v>
      </c>
    </row>
    <row r="35" spans="1:26" s="25" customFormat="1" ht="20.100000000000001" customHeight="1">
      <c r="A35" s="34">
        <v>3567</v>
      </c>
      <c r="B35" s="31" t="s">
        <v>13</v>
      </c>
      <c r="C35" s="31" t="s">
        <v>57</v>
      </c>
      <c r="D35" s="31" t="s">
        <v>13</v>
      </c>
      <c r="E35" s="32">
        <v>2</v>
      </c>
      <c r="F35" s="42">
        <v>5</v>
      </c>
      <c r="G35" s="40">
        <v>7</v>
      </c>
      <c r="H35" s="40">
        <v>6</v>
      </c>
      <c r="I35" s="41"/>
      <c r="J35" s="35" t="s">
        <v>71</v>
      </c>
      <c r="K35" s="24">
        <v>211.72048450262599</v>
      </c>
      <c r="L35" s="24">
        <v>25.787988965802899</v>
      </c>
      <c r="M35" s="24">
        <v>46.154705059657601</v>
      </c>
      <c r="N35" s="24">
        <v>26.355239390603099</v>
      </c>
      <c r="O35" s="24">
        <v>1225133.5</v>
      </c>
      <c r="P35" s="55">
        <v>2.01975536796088E-2</v>
      </c>
      <c r="Q35" s="25">
        <f t="shared" si="0"/>
        <v>4.5871917983001982</v>
      </c>
      <c r="R35" s="25">
        <f t="shared" si="1"/>
        <v>0.12180204965232379</v>
      </c>
      <c r="S35" s="25">
        <f t="shared" si="2"/>
        <v>9.0345867496760513E-4</v>
      </c>
      <c r="T35" s="53">
        <f t="shared" si="3"/>
        <v>0.33333333333333331</v>
      </c>
      <c r="U35" s="25">
        <f t="shared" si="4"/>
        <v>-1.6947012289585466</v>
      </c>
      <c r="V35" s="26">
        <f t="shared" si="5"/>
        <v>-7.0092801878074784</v>
      </c>
      <c r="W35" s="25">
        <f t="shared" si="6"/>
        <v>-1.0986122886681098</v>
      </c>
      <c r="X35" s="25">
        <f t="shared" si="7"/>
        <v>1106.8574885684245</v>
      </c>
      <c r="Y35" s="25">
        <f t="shared" si="8"/>
        <v>624.47746552213482</v>
      </c>
      <c r="Z35" s="25">
        <f t="shared" si="9"/>
        <v>0.62447746552213479</v>
      </c>
    </row>
    <row r="36" spans="1:26" s="25" customFormat="1" ht="20.100000000000001" customHeight="1">
      <c r="A36" s="34">
        <v>3568</v>
      </c>
      <c r="B36" s="31" t="s">
        <v>41</v>
      </c>
      <c r="C36" s="31" t="s">
        <v>63</v>
      </c>
      <c r="D36" s="31" t="s">
        <v>16</v>
      </c>
      <c r="E36" s="32">
        <v>2</v>
      </c>
      <c r="F36" s="42">
        <v>2</v>
      </c>
      <c r="G36" s="40">
        <v>6</v>
      </c>
      <c r="H36" s="40">
        <v>6</v>
      </c>
      <c r="I36" s="40">
        <v>-3</v>
      </c>
      <c r="J36" s="35" t="s">
        <v>71</v>
      </c>
      <c r="K36" s="24">
        <v>131.753932369208</v>
      </c>
      <c r="L36" s="24">
        <v>25.949255155200699</v>
      </c>
      <c r="M36" s="24">
        <v>62.145403619902403</v>
      </c>
      <c r="N36" s="24">
        <v>20.544156890574602</v>
      </c>
      <c r="O36" s="24">
        <v>1685033</v>
      </c>
      <c r="P36" s="55">
        <v>1.1186825276184999E-2</v>
      </c>
      <c r="Q36" s="25">
        <f>K36/M36</f>
        <v>2.1200913453720509</v>
      </c>
      <c r="R36" s="25">
        <f t="shared" si="1"/>
        <v>0.1969524149190803</v>
      </c>
      <c r="S36" s="25">
        <f t="shared" si="2"/>
        <v>7.7036367218775081E-4</v>
      </c>
      <c r="T36" s="53">
        <f t="shared" si="3"/>
        <v>0.25</v>
      </c>
      <c r="U36" s="25">
        <f t="shared" si="4"/>
        <v>-1.9512931449869928</v>
      </c>
      <c r="V36" s="26">
        <f t="shared" si="5"/>
        <v>-7.1686478530732787</v>
      </c>
      <c r="W36" s="25">
        <f t="shared" si="6"/>
        <v>-1.3862943611198906</v>
      </c>
      <c r="X36" s="25">
        <f t="shared" si="7"/>
        <v>1298.0882096375424</v>
      </c>
      <c r="Y36" s="25">
        <f t="shared" si="8"/>
        <v>732.36784640365761</v>
      </c>
      <c r="Z36" s="25">
        <f t="shared" si="9"/>
        <v>0.7323678464036576</v>
      </c>
    </row>
    <row r="37" spans="1:26" s="25" customFormat="1" ht="20.100000000000001" customHeight="1">
      <c r="A37" s="34">
        <v>3569</v>
      </c>
      <c r="B37" s="31" t="s">
        <v>16</v>
      </c>
      <c r="C37" s="31" t="s">
        <v>60</v>
      </c>
      <c r="D37" s="31" t="s">
        <v>16</v>
      </c>
      <c r="E37" s="32">
        <v>2</v>
      </c>
      <c r="F37" s="42">
        <v>5</v>
      </c>
      <c r="G37" s="40">
        <v>7</v>
      </c>
      <c r="H37" s="40">
        <v>7</v>
      </c>
      <c r="I37" s="40">
        <v>-1</v>
      </c>
      <c r="J37" s="33" t="s">
        <v>81</v>
      </c>
      <c r="K37" s="24">
        <v>196.55854753003101</v>
      </c>
      <c r="L37" s="24">
        <v>29.303983345398201</v>
      </c>
      <c r="M37" s="24">
        <v>61.699324015402702</v>
      </c>
      <c r="N37" s="24">
        <v>25.859505541606499</v>
      </c>
      <c r="O37" s="24">
        <v>647089</v>
      </c>
      <c r="P37" s="55">
        <v>1.3018190333952699E-2</v>
      </c>
      <c r="Q37" s="25">
        <f t="shared" si="0"/>
        <v>3.1857488014125059</v>
      </c>
      <c r="R37" s="25">
        <f t="shared" si="1"/>
        <v>0.14908526601175165</v>
      </c>
      <c r="S37" s="25">
        <f t="shared" si="2"/>
        <v>1.243134133726329E-3</v>
      </c>
      <c r="T37" s="53">
        <f t="shared" si="3"/>
        <v>0.25</v>
      </c>
      <c r="U37" s="25">
        <f t="shared" si="4"/>
        <v>-1.8854493830951731</v>
      </c>
      <c r="V37" s="26">
        <f t="shared" si="5"/>
        <v>-6.6901195609913122</v>
      </c>
      <c r="W37" s="25">
        <f t="shared" si="6"/>
        <v>-1.3862943611198906</v>
      </c>
      <c r="X37" s="25">
        <f t="shared" si="7"/>
        <v>804.41842345883651</v>
      </c>
      <c r="Y37" s="25">
        <f t="shared" si="8"/>
        <v>453.84449532938362</v>
      </c>
      <c r="Z37" s="25">
        <f t="shared" si="9"/>
        <v>0.45384449532938365</v>
      </c>
    </row>
    <row r="38" spans="1:26" s="25" customFormat="1" ht="20.100000000000001" customHeight="1">
      <c r="A38" s="34">
        <v>3346</v>
      </c>
      <c r="B38" s="31" t="s">
        <v>43</v>
      </c>
      <c r="C38" s="31" t="s">
        <v>47</v>
      </c>
      <c r="D38" s="31" t="s">
        <v>20</v>
      </c>
      <c r="E38" s="32">
        <v>5</v>
      </c>
      <c r="F38" s="42">
        <v>3</v>
      </c>
      <c r="G38" s="40">
        <v>7</v>
      </c>
      <c r="H38" s="40">
        <v>7</v>
      </c>
      <c r="I38" s="41"/>
      <c r="J38" s="35" t="s">
        <v>71</v>
      </c>
      <c r="K38" s="24">
        <v>191.87392391376201</v>
      </c>
      <c r="L38" s="24">
        <v>27.953224153891298</v>
      </c>
      <c r="M38" s="24">
        <v>68.351467660385097</v>
      </c>
      <c r="N38" s="24">
        <v>27.9654346545998</v>
      </c>
      <c r="O38" s="24">
        <v>934932.5</v>
      </c>
      <c r="P38" s="55">
        <v>-7.51068029104166E-3</v>
      </c>
      <c r="Q38" s="25">
        <f t="shared" si="0"/>
        <v>2.807166114809962</v>
      </c>
      <c r="R38" s="25">
        <f t="shared" si="1"/>
        <v>0.14568537289337405</v>
      </c>
      <c r="S38" s="25">
        <f t="shared" si="2"/>
        <v>1.0342127118713352E-3</v>
      </c>
      <c r="T38" s="53">
        <f t="shared" si="3"/>
        <v>0.66666666666666663</v>
      </c>
      <c r="U38" s="25" t="e">
        <f t="shared" si="4"/>
        <v>#NUM!</v>
      </c>
      <c r="V38" s="26">
        <f t="shared" si="5"/>
        <v>-6.8741148065757249</v>
      </c>
      <c r="W38" s="25">
        <f t="shared" si="6"/>
        <v>-0.40546510810816444</v>
      </c>
      <c r="X38" s="25">
        <f t="shared" si="7"/>
        <v>966.91907624164696</v>
      </c>
      <c r="Y38" s="25">
        <f t="shared" si="8"/>
        <v>545.52567094915605</v>
      </c>
      <c r="Z38" s="25">
        <f t="shared" si="9"/>
        <v>0.54552567094915605</v>
      </c>
    </row>
    <row r="39" spans="1:26" s="25" customFormat="1" ht="20.100000000000001" customHeight="1">
      <c r="A39" s="34">
        <v>3347</v>
      </c>
      <c r="B39" s="31" t="s">
        <v>13</v>
      </c>
      <c r="C39" s="31" t="s">
        <v>52</v>
      </c>
      <c r="D39" s="31" t="s">
        <v>15</v>
      </c>
      <c r="E39" s="32">
        <v>2</v>
      </c>
      <c r="F39" s="42">
        <v>3</v>
      </c>
      <c r="G39" s="40">
        <v>5</v>
      </c>
      <c r="H39" s="40">
        <v>6</v>
      </c>
      <c r="I39" s="40">
        <v>-4</v>
      </c>
      <c r="J39" s="35" t="s">
        <v>71</v>
      </c>
      <c r="K39" s="24">
        <v>142.227590655071</v>
      </c>
      <c r="L39" s="24">
        <v>25.017009493533301</v>
      </c>
      <c r="M39" s="24">
        <v>69.827295622757106</v>
      </c>
      <c r="N39" s="24">
        <v>20.8995886733147</v>
      </c>
      <c r="O39" s="24">
        <v>996599.5</v>
      </c>
      <c r="P39" s="55">
        <v>8.7928461584333498E-3</v>
      </c>
      <c r="Q39" s="25">
        <f t="shared" si="0"/>
        <v>2.0368480461202085</v>
      </c>
      <c r="R39" s="25">
        <f t="shared" si="1"/>
        <v>0.17589420855904334</v>
      </c>
      <c r="S39" s="25">
        <f t="shared" si="2"/>
        <v>1.0017045985996874E-3</v>
      </c>
      <c r="T39" s="53">
        <f t="shared" si="3"/>
        <v>1</v>
      </c>
      <c r="U39" s="25">
        <f t="shared" si="4"/>
        <v>-2.0558705252870246</v>
      </c>
      <c r="V39" s="26">
        <f t="shared" si="5"/>
        <v>-6.9060521315617578</v>
      </c>
      <c r="W39" s="25">
        <f t="shared" si="6"/>
        <v>0</v>
      </c>
      <c r="X39" s="25">
        <f t="shared" si="7"/>
        <v>998.29830211214926</v>
      </c>
      <c r="Y39" s="25">
        <f t="shared" si="8"/>
        <v>563.22950332508572</v>
      </c>
      <c r="Z39" s="25">
        <f t="shared" si="9"/>
        <v>0.5632295033250857</v>
      </c>
    </row>
    <row r="40" spans="1:26" s="25" customFormat="1" ht="20.100000000000001" customHeight="1">
      <c r="A40" s="34">
        <v>3348</v>
      </c>
      <c r="B40" s="31" t="s">
        <v>39</v>
      </c>
      <c r="C40" s="31" t="s">
        <v>57</v>
      </c>
      <c r="D40" s="31" t="s">
        <v>13</v>
      </c>
      <c r="E40" s="32">
        <v>2</v>
      </c>
      <c r="F40" s="42">
        <v>5</v>
      </c>
      <c r="G40" s="40">
        <v>7</v>
      </c>
      <c r="H40" s="40">
        <v>7</v>
      </c>
      <c r="I40" s="40">
        <v>-1</v>
      </c>
      <c r="J40" s="35" t="s">
        <v>71</v>
      </c>
      <c r="K40" s="24">
        <v>199.666765240026</v>
      </c>
      <c r="L40" s="24">
        <v>26.1322989337433</v>
      </c>
      <c r="M40" s="24">
        <v>79.179718374084302</v>
      </c>
      <c r="N40" s="24">
        <v>26.620319924613302</v>
      </c>
      <c r="O40" s="24">
        <v>987914</v>
      </c>
      <c r="P40" s="55">
        <v>7.1788282685577602E-3</v>
      </c>
      <c r="Q40" s="25">
        <f t="shared" si="0"/>
        <v>2.5216907730929412</v>
      </c>
      <c r="R40" s="25">
        <f t="shared" si="1"/>
        <v>0.13087956276713755</v>
      </c>
      <c r="S40" s="25">
        <f t="shared" si="2"/>
        <v>1.0060983343653724E-3</v>
      </c>
      <c r="T40" s="53">
        <f t="shared" si="3"/>
        <v>0.33333333333333331</v>
      </c>
      <c r="U40" s="25">
        <f t="shared" si="4"/>
        <v>-2.1439464357057356</v>
      </c>
      <c r="V40" s="26">
        <f t="shared" si="5"/>
        <v>-6.9016754642034988</v>
      </c>
      <c r="W40" s="25">
        <f t="shared" si="6"/>
        <v>-1.0986122886681098</v>
      </c>
      <c r="X40" s="25">
        <f t="shared" si="7"/>
        <v>993.93862989623256</v>
      </c>
      <c r="Y40" s="25">
        <f t="shared" si="8"/>
        <v>560.76982167318295</v>
      </c>
      <c r="Z40" s="25">
        <f t="shared" si="9"/>
        <v>0.56076982167318301</v>
      </c>
    </row>
    <row r="41" spans="1:26" s="25" customFormat="1" ht="20.100000000000001" customHeight="1">
      <c r="A41" s="34">
        <v>3349</v>
      </c>
      <c r="B41" s="31" t="s">
        <v>17</v>
      </c>
      <c r="C41" s="31" t="s">
        <v>63</v>
      </c>
      <c r="D41" s="31" t="s">
        <v>22</v>
      </c>
      <c r="E41" s="32">
        <v>2</v>
      </c>
      <c r="F41" s="42">
        <v>3</v>
      </c>
      <c r="G41" s="40">
        <v>4</v>
      </c>
      <c r="H41" s="40">
        <v>6</v>
      </c>
      <c r="I41" s="40">
        <v>-3</v>
      </c>
      <c r="J41" s="33" t="s">
        <v>81</v>
      </c>
      <c r="K41" s="24">
        <v>141.03557332368601</v>
      </c>
      <c r="L41" s="24">
        <v>35.204652011287799</v>
      </c>
      <c r="M41" s="24">
        <v>60.5747224971607</v>
      </c>
      <c r="N41" s="24">
        <v>19.521199504823901</v>
      </c>
      <c r="O41" s="24">
        <v>327219.5</v>
      </c>
      <c r="P41" s="55">
        <v>1.6299127490636701E-2</v>
      </c>
      <c r="Q41" s="25">
        <f t="shared" si="0"/>
        <v>2.3282908696824278</v>
      </c>
      <c r="R41" s="25">
        <f t="shared" si="1"/>
        <v>0.2496154068200282</v>
      </c>
      <c r="S41" s="25">
        <f t="shared" si="2"/>
        <v>1.7481569118797502E-3</v>
      </c>
      <c r="T41" s="53">
        <f t="shared" si="3"/>
        <v>0.5</v>
      </c>
      <c r="U41" s="25">
        <f t="shared" si="4"/>
        <v>-1.78783564321223</v>
      </c>
      <c r="V41" s="26">
        <f t="shared" si="5"/>
        <v>-6.3491932392559702</v>
      </c>
      <c r="W41" s="25">
        <f t="shared" si="6"/>
        <v>-0.69314718055994529</v>
      </c>
      <c r="X41" s="25">
        <f t="shared" si="7"/>
        <v>572.03103062683579</v>
      </c>
      <c r="Y41" s="25">
        <f t="shared" si="8"/>
        <v>322.73394894574835</v>
      </c>
      <c r="Z41" s="25">
        <f t="shared" si="9"/>
        <v>0.32273394894574836</v>
      </c>
    </row>
    <row r="42" spans="1:26" s="25" customFormat="1" ht="20.100000000000001" customHeight="1">
      <c r="A42" s="34">
        <v>3352</v>
      </c>
      <c r="B42" s="31" t="s">
        <v>13</v>
      </c>
      <c r="C42" s="31" t="s">
        <v>58</v>
      </c>
      <c r="D42" s="31" t="s">
        <v>21</v>
      </c>
      <c r="E42" s="32">
        <v>2</v>
      </c>
      <c r="F42" s="42">
        <v>5</v>
      </c>
      <c r="G42" s="40">
        <v>8</v>
      </c>
      <c r="H42" s="40">
        <v>7</v>
      </c>
      <c r="I42" s="41"/>
      <c r="J42" s="35" t="s">
        <v>71</v>
      </c>
      <c r="K42" s="24">
        <v>180.023043923465</v>
      </c>
      <c r="L42" s="24">
        <v>28.492377648024799</v>
      </c>
      <c r="M42" s="24">
        <v>47.212430392765498</v>
      </c>
      <c r="N42" s="24">
        <v>17.902050297595</v>
      </c>
      <c r="O42" s="24">
        <v>768728.5</v>
      </c>
      <c r="P42" s="55">
        <v>1.42448078823462E-2</v>
      </c>
      <c r="Q42" s="25">
        <f t="shared" si="0"/>
        <v>3.8130433537488564</v>
      </c>
      <c r="R42" s="25">
        <f t="shared" si="1"/>
        <v>0.15827072483086138</v>
      </c>
      <c r="S42" s="25">
        <f t="shared" si="2"/>
        <v>1.1405478462602721E-3</v>
      </c>
      <c r="T42" s="53">
        <f t="shared" si="3"/>
        <v>0.4</v>
      </c>
      <c r="U42" s="25">
        <f t="shared" si="4"/>
        <v>-1.8463434036515707</v>
      </c>
      <c r="V42" s="26">
        <f t="shared" si="5"/>
        <v>-6.776246565116046</v>
      </c>
      <c r="W42" s="25">
        <f t="shared" si="6"/>
        <v>-0.916290731874155</v>
      </c>
      <c r="X42" s="25">
        <f t="shared" si="7"/>
        <v>876.77163503388954</v>
      </c>
      <c r="Y42" s="25">
        <f t="shared" si="8"/>
        <v>494.66542363625553</v>
      </c>
      <c r="Z42" s="25">
        <f t="shared" si="9"/>
        <v>0.49466542363625554</v>
      </c>
    </row>
    <row r="43" spans="1:26" s="25" customFormat="1" ht="31.5" customHeight="1">
      <c r="A43" s="34">
        <v>3554</v>
      </c>
      <c r="B43" s="31" t="s">
        <v>16</v>
      </c>
      <c r="C43" s="31" t="s">
        <v>59</v>
      </c>
      <c r="D43" s="31" t="s">
        <v>15</v>
      </c>
      <c r="E43" s="32">
        <v>2</v>
      </c>
      <c r="F43" s="42">
        <v>3</v>
      </c>
      <c r="G43" s="40">
        <v>6</v>
      </c>
      <c r="H43" s="40">
        <v>6</v>
      </c>
      <c r="I43" s="41"/>
      <c r="J43" s="33" t="s">
        <v>81</v>
      </c>
      <c r="K43" s="24">
        <v>209.020986476643</v>
      </c>
      <c r="L43" s="24">
        <v>26.747090428920501</v>
      </c>
      <c r="M43" s="24">
        <v>43.451969871737901</v>
      </c>
      <c r="N43" s="24">
        <v>19.061810266119299</v>
      </c>
      <c r="O43" s="24">
        <v>208193</v>
      </c>
      <c r="P43" s="55">
        <v>5.8407736949862302E-2</v>
      </c>
      <c r="Q43" s="25">
        <f t="shared" si="0"/>
        <v>4.8103914987889826</v>
      </c>
      <c r="R43" s="25">
        <f t="shared" si="1"/>
        <v>0.12796365991655745</v>
      </c>
      <c r="S43" s="25">
        <f t="shared" si="2"/>
        <v>2.1916284948424666E-3</v>
      </c>
      <c r="T43" s="53">
        <f t="shared" si="3"/>
        <v>1</v>
      </c>
      <c r="U43" s="25">
        <f t="shared" si="4"/>
        <v>-1.2335296204890691</v>
      </c>
      <c r="V43" s="26">
        <f t="shared" si="5"/>
        <v>-6.1231104065400093</v>
      </c>
      <c r="W43" s="25">
        <f t="shared" si="6"/>
        <v>0</v>
      </c>
      <c r="X43" s="25">
        <f t="shared" si="7"/>
        <v>456.28171122673763</v>
      </c>
      <c r="Y43" s="25">
        <f t="shared" si="8"/>
        <v>257.42938863747071</v>
      </c>
      <c r="Z43" s="25">
        <f t="shared" si="9"/>
        <v>0.25742938863747072</v>
      </c>
    </row>
    <row r="44" spans="1:26" s="25" customFormat="1" ht="20.100000000000001" customHeight="1">
      <c r="A44" s="34">
        <v>3483</v>
      </c>
      <c r="B44" s="31" t="s">
        <v>13</v>
      </c>
      <c r="C44" s="31" t="s">
        <v>48</v>
      </c>
      <c r="D44" s="31" t="s">
        <v>13</v>
      </c>
      <c r="E44" s="32">
        <v>4</v>
      </c>
      <c r="F44" s="42">
        <v>5.5</v>
      </c>
      <c r="G44" s="40">
        <v>13</v>
      </c>
      <c r="H44" s="40">
        <v>8</v>
      </c>
      <c r="I44" s="41"/>
      <c r="J44" s="33" t="s">
        <v>81</v>
      </c>
      <c r="K44" s="24">
        <v>152.83091703007901</v>
      </c>
      <c r="L44" s="24">
        <v>27.6731611198175</v>
      </c>
      <c r="M44" s="24">
        <v>53.140420437907601</v>
      </c>
      <c r="N44" s="24">
        <v>24.880249442359801</v>
      </c>
      <c r="O44" s="24">
        <v>1996334.5</v>
      </c>
      <c r="P44" s="55">
        <v>8.2567107937985308E-3</v>
      </c>
      <c r="Q44" s="25">
        <f t="shared" si="0"/>
        <v>2.8759824587510678</v>
      </c>
      <c r="R44" s="25">
        <f t="shared" si="1"/>
        <v>0.18107043821749155</v>
      </c>
      <c r="S44" s="25">
        <f t="shared" si="2"/>
        <v>7.0775564820777751E-4</v>
      </c>
      <c r="T44" s="53">
        <f t="shared" si="3"/>
        <v>0.33333333333333331</v>
      </c>
      <c r="U44" s="25">
        <f t="shared" si="4"/>
        <v>-2.0831929270859457</v>
      </c>
      <c r="V44" s="26">
        <f t="shared" si="5"/>
        <v>-7.2534116534915309</v>
      </c>
      <c r="W44" s="25">
        <f t="shared" si="6"/>
        <v>-1.0986122886681098</v>
      </c>
      <c r="X44" s="25">
        <f t="shared" si="7"/>
        <v>1412.9170180870497</v>
      </c>
      <c r="Y44" s="25">
        <f t="shared" si="8"/>
        <v>797.15306402207011</v>
      </c>
      <c r="Z44" s="25">
        <f t="shared" si="9"/>
        <v>0.79715306402207009</v>
      </c>
    </row>
    <row r="45" spans="1:26" s="25" customFormat="1" ht="20.100000000000001" customHeight="1">
      <c r="A45" s="34">
        <v>3591</v>
      </c>
      <c r="B45" s="31" t="s">
        <v>13</v>
      </c>
      <c r="C45" s="31" t="s">
        <v>52</v>
      </c>
      <c r="D45" s="31" t="s">
        <v>15</v>
      </c>
      <c r="E45" s="32">
        <v>2</v>
      </c>
      <c r="F45" s="42">
        <v>3</v>
      </c>
      <c r="G45" s="40">
        <v>8</v>
      </c>
      <c r="H45" s="40">
        <v>8</v>
      </c>
      <c r="I45" s="41"/>
      <c r="J45" s="33" t="s">
        <v>81</v>
      </c>
      <c r="K45" s="24">
        <v>216.04950991091701</v>
      </c>
      <c r="L45" s="24">
        <v>25.0861370884748</v>
      </c>
      <c r="M45" s="24">
        <v>48.2478910158056</v>
      </c>
      <c r="N45" s="24">
        <v>17.9223828445325</v>
      </c>
      <c r="O45" s="24">
        <v>344571</v>
      </c>
      <c r="P45" s="55">
        <v>0.52612960854417601</v>
      </c>
      <c r="Q45" s="25">
        <f t="shared" si="0"/>
        <v>4.4779057770658</v>
      </c>
      <c r="R45" s="25">
        <f t="shared" si="1"/>
        <v>0.11611290902172601</v>
      </c>
      <c r="S45" s="25">
        <f t="shared" si="2"/>
        <v>1.7035725687159996E-3</v>
      </c>
      <c r="T45" s="53">
        <f t="shared" si="3"/>
        <v>1</v>
      </c>
      <c r="U45" s="25">
        <f t="shared" si="4"/>
        <v>-0.27890725709749314</v>
      </c>
      <c r="V45" s="26">
        <f t="shared" si="5"/>
        <v>-6.3750277219960161</v>
      </c>
      <c r="W45" s="25">
        <f t="shared" si="6"/>
        <v>0</v>
      </c>
      <c r="X45" s="25">
        <f t="shared" si="7"/>
        <v>587.00170357504078</v>
      </c>
      <c r="Y45" s="25">
        <f t="shared" si="8"/>
        <v>331.18024668182574</v>
      </c>
      <c r="Z45" s="25">
        <f t="shared" si="9"/>
        <v>0.33118024668182572</v>
      </c>
    </row>
    <row r="46" spans="1:26" s="25" customFormat="1" ht="20.100000000000001" customHeight="1">
      <c r="A46" s="34">
        <v>3541</v>
      </c>
      <c r="B46" s="31" t="s">
        <v>16</v>
      </c>
      <c r="C46" s="31" t="s">
        <v>64</v>
      </c>
      <c r="D46" s="31" t="s">
        <v>15</v>
      </c>
      <c r="E46" s="32">
        <v>2</v>
      </c>
      <c r="F46" s="42">
        <v>3</v>
      </c>
      <c r="G46" s="40">
        <v>7</v>
      </c>
      <c r="H46" s="40">
        <v>7</v>
      </c>
      <c r="I46" s="41"/>
      <c r="J46" s="33" t="s">
        <v>81</v>
      </c>
      <c r="K46" s="24">
        <v>204.97040006316399</v>
      </c>
      <c r="L46" s="24">
        <v>24.174477768482099</v>
      </c>
      <c r="M46" s="24">
        <v>58.628326877488</v>
      </c>
      <c r="N46" s="24">
        <v>30.123598655409801</v>
      </c>
      <c r="O46" s="24">
        <v>230617</v>
      </c>
      <c r="P46" s="55">
        <v>2.4676158671730199E-2</v>
      </c>
      <c r="Q46" s="25">
        <f t="shared" si="0"/>
        <v>3.4960984046411219</v>
      </c>
      <c r="R46" s="25">
        <f t="shared" si="1"/>
        <v>0.11794131133584389</v>
      </c>
      <c r="S46" s="25">
        <f t="shared" si="2"/>
        <v>2.0823529421852231E-3</v>
      </c>
      <c r="T46" s="53">
        <f t="shared" si="3"/>
        <v>1</v>
      </c>
      <c r="U46" s="25">
        <f t="shared" si="4"/>
        <v>-1.6077224458346353</v>
      </c>
      <c r="V46" s="26">
        <f t="shared" si="5"/>
        <v>-6.1742568024141953</v>
      </c>
      <c r="W46" s="25">
        <f t="shared" si="6"/>
        <v>0</v>
      </c>
      <c r="X46" s="25">
        <f t="shared" si="7"/>
        <v>480.22598846792954</v>
      </c>
      <c r="Y46" s="25">
        <f t="shared" si="8"/>
        <v>270.93850044253077</v>
      </c>
      <c r="Z46" s="25">
        <f t="shared" si="9"/>
        <v>0.27093850044253076</v>
      </c>
    </row>
    <row r="47" spans="1:26" s="25" customFormat="1" ht="20.100000000000001" customHeight="1">
      <c r="A47" s="34">
        <v>3514</v>
      </c>
      <c r="B47" s="31" t="s">
        <v>18</v>
      </c>
      <c r="C47" s="31" t="s">
        <v>52</v>
      </c>
      <c r="D47" s="31" t="s">
        <v>15</v>
      </c>
      <c r="E47" s="32">
        <v>2</v>
      </c>
      <c r="F47" s="42">
        <v>5</v>
      </c>
      <c r="G47" s="40">
        <v>7</v>
      </c>
      <c r="H47" s="40">
        <v>7</v>
      </c>
      <c r="I47" s="41"/>
      <c r="J47" s="33" t="s">
        <v>81</v>
      </c>
      <c r="K47" s="24">
        <v>201.089528644225</v>
      </c>
      <c r="L47" s="24">
        <v>33.154145341036603</v>
      </c>
      <c r="M47" s="24">
        <v>35.294504511305</v>
      </c>
      <c r="N47" s="24">
        <v>19.686583050649901</v>
      </c>
      <c r="O47" s="24">
        <v>418342.5</v>
      </c>
      <c r="P47" s="55">
        <v>3.22680961428169E-2</v>
      </c>
      <c r="Q47" s="25">
        <f t="shared" si="0"/>
        <v>5.6974741940296978</v>
      </c>
      <c r="R47" s="25">
        <f t="shared" si="1"/>
        <v>0.16487255982231744</v>
      </c>
      <c r="S47" s="25">
        <f t="shared" si="2"/>
        <v>1.546087276979779E-3</v>
      </c>
      <c r="T47" s="53">
        <f t="shared" si="3"/>
        <v>1</v>
      </c>
      <c r="U47" s="25">
        <f t="shared" si="4"/>
        <v>-1.4912266577464079</v>
      </c>
      <c r="V47" s="26">
        <f t="shared" si="5"/>
        <v>-6.4720278769952184</v>
      </c>
      <c r="W47" s="25">
        <f t="shared" si="6"/>
        <v>0</v>
      </c>
      <c r="X47" s="25">
        <f t="shared" si="7"/>
        <v>646.79401666991328</v>
      </c>
      <c r="Y47" s="25">
        <f t="shared" si="8"/>
        <v>364.91444690617885</v>
      </c>
      <c r="Z47" s="25">
        <f t="shared" si="9"/>
        <v>0.36491444690617886</v>
      </c>
    </row>
    <row r="48" spans="1:26" s="25" customFormat="1" ht="20.100000000000001" customHeight="1">
      <c r="A48" s="34">
        <v>3515</v>
      </c>
      <c r="B48" s="31" t="s">
        <v>18</v>
      </c>
      <c r="C48" s="31" t="s">
        <v>62</v>
      </c>
      <c r="D48" s="31" t="s">
        <v>15</v>
      </c>
      <c r="E48" s="32">
        <v>2</v>
      </c>
      <c r="F48" s="42">
        <v>5</v>
      </c>
      <c r="G48" s="40">
        <v>7</v>
      </c>
      <c r="H48" s="40">
        <v>7</v>
      </c>
      <c r="I48" s="41"/>
      <c r="J48" s="33" t="s">
        <v>81</v>
      </c>
      <c r="K48" s="24">
        <v>196.51979313570601</v>
      </c>
      <c r="L48" s="24">
        <v>29.5681768208023</v>
      </c>
      <c r="M48" s="24">
        <v>58.811140189020001</v>
      </c>
      <c r="N48" s="24">
        <v>24.252230734918001</v>
      </c>
      <c r="O48" s="24">
        <v>1185666.5</v>
      </c>
      <c r="P48" s="55">
        <v>8.1258456055613004E-3</v>
      </c>
      <c r="Q48" s="25">
        <f t="shared" si="0"/>
        <v>3.3415402677806969</v>
      </c>
      <c r="R48" s="25">
        <f t="shared" si="1"/>
        <v>0.15045902679321521</v>
      </c>
      <c r="S48" s="25">
        <f t="shared" si="2"/>
        <v>9.1837219269404874E-4</v>
      </c>
      <c r="T48" s="53">
        <f t="shared" si="3"/>
        <v>1</v>
      </c>
      <c r="U48" s="25">
        <f t="shared" si="4"/>
        <v>-2.0901314337066013</v>
      </c>
      <c r="V48" s="26">
        <f t="shared" si="5"/>
        <v>-6.9929078108472895</v>
      </c>
      <c r="W48" s="25">
        <f t="shared" si="6"/>
        <v>0</v>
      </c>
      <c r="X48" s="25">
        <f t="shared" si="7"/>
        <v>1088.8831434088784</v>
      </c>
      <c r="Y48" s="25">
        <f t="shared" si="8"/>
        <v>614.33652721202691</v>
      </c>
      <c r="Z48" s="25">
        <f t="shared" si="9"/>
        <v>0.61433652721202692</v>
      </c>
    </row>
    <row r="49" spans="1:26" s="25" customFormat="1" ht="20.100000000000001" customHeight="1">
      <c r="A49" s="34">
        <v>3393</v>
      </c>
      <c r="B49" s="31" t="s">
        <v>15</v>
      </c>
      <c r="C49" s="31" t="s">
        <v>62</v>
      </c>
      <c r="D49" s="31" t="s">
        <v>17</v>
      </c>
      <c r="E49" s="32">
        <v>4</v>
      </c>
      <c r="F49" s="42">
        <v>3</v>
      </c>
      <c r="G49" s="40">
        <v>6</v>
      </c>
      <c r="H49" s="40">
        <v>6</v>
      </c>
      <c r="I49" s="40">
        <v>-1</v>
      </c>
      <c r="J49" s="35" t="s">
        <v>71</v>
      </c>
      <c r="K49" s="24">
        <v>126.087309482696</v>
      </c>
      <c r="L49" s="24">
        <v>28.7987928597035</v>
      </c>
      <c r="M49" s="24">
        <v>63.681158864363702</v>
      </c>
      <c r="N49" s="24">
        <v>16.957222226722699</v>
      </c>
      <c r="O49" s="24">
        <v>784179</v>
      </c>
      <c r="P49" s="55" t="s">
        <v>80</v>
      </c>
      <c r="Q49" s="25">
        <f t="shared" si="0"/>
        <v>1.9799782499444289</v>
      </c>
      <c r="R49" s="25">
        <f t="shared" si="1"/>
        <v>0.22840357985159321</v>
      </c>
      <c r="S49" s="25">
        <f t="shared" si="2"/>
        <v>1.129255972201362E-3</v>
      </c>
      <c r="T49" s="53">
        <f t="shared" si="3"/>
        <v>0.16666666666666666</v>
      </c>
      <c r="U49" s="25" t="e">
        <f t="shared" si="4"/>
        <v>#VALUE!</v>
      </c>
      <c r="V49" s="26">
        <f t="shared" si="5"/>
        <v>-6.786196294799435</v>
      </c>
      <c r="W49" s="25">
        <f t="shared" si="6"/>
        <v>-1.791759469228055</v>
      </c>
      <c r="X49" s="25">
        <f t="shared" si="7"/>
        <v>885.53881902489172</v>
      </c>
      <c r="Y49" s="25">
        <f t="shared" si="8"/>
        <v>499.6117775210256</v>
      </c>
      <c r="Z49" s="25">
        <f t="shared" si="9"/>
        <v>0.49961177752102559</v>
      </c>
    </row>
    <row r="50" spans="1:26" s="25" customFormat="1" ht="20.100000000000001" customHeight="1">
      <c r="A50" s="34">
        <v>3470</v>
      </c>
      <c r="B50" s="31" t="s">
        <v>13</v>
      </c>
      <c r="C50" s="31" t="s">
        <v>48</v>
      </c>
      <c r="D50" s="31" t="s">
        <v>15</v>
      </c>
      <c r="E50" s="32">
        <v>3</v>
      </c>
      <c r="F50" s="42">
        <v>5.5</v>
      </c>
      <c r="G50" s="40">
        <v>11</v>
      </c>
      <c r="H50" s="40">
        <v>7</v>
      </c>
      <c r="I50" s="41"/>
      <c r="J50" s="35" t="s">
        <v>71</v>
      </c>
      <c r="K50" s="24">
        <v>147.075197167314</v>
      </c>
      <c r="L50" s="24">
        <v>23.6559119562653</v>
      </c>
      <c r="M50" s="24">
        <v>70.2533977481514</v>
      </c>
      <c r="N50" s="24">
        <v>27.638418800186699</v>
      </c>
      <c r="O50" s="24">
        <v>1015044.5</v>
      </c>
      <c r="P50" s="55" t="s">
        <v>80</v>
      </c>
      <c r="Q50" s="25">
        <f t="shared" si="0"/>
        <v>2.0934958575890947</v>
      </c>
      <c r="R50" s="25">
        <f t="shared" si="1"/>
        <v>0.16084229300304206</v>
      </c>
      <c r="S50" s="25">
        <f t="shared" si="2"/>
        <v>9.9256157608618731E-4</v>
      </c>
      <c r="T50" s="53">
        <f t="shared" si="3"/>
        <v>1</v>
      </c>
      <c r="U50" s="25" t="e">
        <f t="shared" si="4"/>
        <v>#VALUE!</v>
      </c>
      <c r="V50" s="26">
        <f t="shared" si="5"/>
        <v>-6.915221505930754</v>
      </c>
      <c r="W50" s="25">
        <f t="shared" si="6"/>
        <v>0</v>
      </c>
      <c r="X50" s="25">
        <f t="shared" si="7"/>
        <v>1007.4941687176159</v>
      </c>
      <c r="Y50" s="25">
        <f t="shared" si="8"/>
        <v>568.41771547558471</v>
      </c>
      <c r="Z50" s="25">
        <f t="shared" si="9"/>
        <v>0.56841771547558473</v>
      </c>
    </row>
    <row r="51" spans="1:26" s="25" customFormat="1" ht="20.100000000000001" customHeight="1">
      <c r="A51" s="34" t="s">
        <v>24</v>
      </c>
      <c r="B51" s="31" t="s">
        <v>22</v>
      </c>
      <c r="C51" s="31" t="s">
        <v>61</v>
      </c>
      <c r="D51" s="31" t="s">
        <v>15</v>
      </c>
      <c r="E51" s="32">
        <v>2</v>
      </c>
      <c r="F51" s="42">
        <v>3</v>
      </c>
      <c r="G51" s="40">
        <v>6</v>
      </c>
      <c r="H51" s="40">
        <v>6</v>
      </c>
      <c r="I51" s="40">
        <v>-1</v>
      </c>
      <c r="J51" s="33" t="s">
        <v>81</v>
      </c>
      <c r="K51" s="24">
        <v>188.64932687888799</v>
      </c>
      <c r="L51" s="24">
        <v>33.247887400139099</v>
      </c>
      <c r="M51" s="24">
        <v>58.929069723167402</v>
      </c>
      <c r="N51" s="24">
        <v>23.6721588213762</v>
      </c>
      <c r="O51" s="24">
        <v>898676.5</v>
      </c>
      <c r="P51" s="55">
        <v>1.0536708181521E-2</v>
      </c>
      <c r="Q51" s="25">
        <f t="shared" si="0"/>
        <v>3.2012948408164386</v>
      </c>
      <c r="R51" s="25">
        <f t="shared" si="1"/>
        <v>0.17624174944172524</v>
      </c>
      <c r="S51" s="25">
        <f t="shared" si="2"/>
        <v>1.0548684600850619E-3</v>
      </c>
      <c r="T51" s="53">
        <f t="shared" si="3"/>
        <v>1</v>
      </c>
      <c r="U51" s="25">
        <f t="shared" si="4"/>
        <v>-1.9772950477472164</v>
      </c>
      <c r="V51" s="26">
        <f t="shared" si="5"/>
        <v>-6.8543392022114293</v>
      </c>
      <c r="W51" s="25">
        <f t="shared" si="6"/>
        <v>0</v>
      </c>
      <c r="X51" s="25">
        <f t="shared" si="7"/>
        <v>947.98549566963311</v>
      </c>
      <c r="Y51" s="25">
        <f t="shared" si="8"/>
        <v>534.84354201116366</v>
      </c>
      <c r="Z51" s="25">
        <f t="shared" si="9"/>
        <v>0.53484354201116369</v>
      </c>
    </row>
    <row r="52" spans="1:26" s="25" customFormat="1" ht="20.100000000000001" customHeight="1">
      <c r="A52" s="34" t="s">
        <v>25</v>
      </c>
      <c r="B52" s="31" t="s">
        <v>22</v>
      </c>
      <c r="C52" s="31" t="s">
        <v>56</v>
      </c>
      <c r="D52" s="31" t="s">
        <v>15</v>
      </c>
      <c r="E52" s="32">
        <v>2</v>
      </c>
      <c r="F52" s="42">
        <v>5</v>
      </c>
      <c r="G52" s="41"/>
      <c r="H52" s="41"/>
      <c r="I52" s="41"/>
      <c r="J52" s="33" t="s">
        <v>81</v>
      </c>
      <c r="K52" s="24">
        <v>160.16224957718501</v>
      </c>
      <c r="L52" s="24">
        <v>40.505589383508202</v>
      </c>
      <c r="M52" s="24">
        <v>63.593578443952097</v>
      </c>
      <c r="N52" s="24">
        <v>21.8787216209383</v>
      </c>
      <c r="O52" s="24">
        <v>163084</v>
      </c>
      <c r="P52" s="55">
        <v>2.62030014390572E-2</v>
      </c>
      <c r="Q52" s="25">
        <f t="shared" si="0"/>
        <v>2.5185286548757948</v>
      </c>
      <c r="R52" s="25">
        <f t="shared" si="1"/>
        <v>0.25290347438575311</v>
      </c>
      <c r="S52" s="25">
        <f t="shared" si="2"/>
        <v>2.4762490533688591E-3</v>
      </c>
      <c r="T52" s="53">
        <f t="shared" si="3"/>
        <v>1</v>
      </c>
      <c r="U52" s="25">
        <f t="shared" si="4"/>
        <v>-1.5816489593000305</v>
      </c>
      <c r="V52" s="26">
        <f t="shared" si="5"/>
        <v>-6.0010103422357419</v>
      </c>
      <c r="W52" s="25">
        <f t="shared" si="6"/>
        <v>0</v>
      </c>
      <c r="X52" s="25">
        <f t="shared" si="7"/>
        <v>403.83660061960705</v>
      </c>
      <c r="Y52" s="25">
        <f t="shared" si="8"/>
        <v>227.84040352491769</v>
      </c>
      <c r="Z52" s="25">
        <f t="shared" si="9"/>
        <v>0.22784040352491769</v>
      </c>
    </row>
    <row r="53" spans="1:26" s="25" customFormat="1" ht="30" customHeight="1">
      <c r="A53" s="34">
        <v>3486</v>
      </c>
      <c r="B53" s="31" t="s">
        <v>17</v>
      </c>
      <c r="C53" s="31" t="s">
        <v>61</v>
      </c>
      <c r="D53" s="31" t="s">
        <v>13</v>
      </c>
      <c r="E53" s="32">
        <v>2</v>
      </c>
      <c r="F53" s="42">
        <v>3</v>
      </c>
      <c r="G53" s="40">
        <v>4</v>
      </c>
      <c r="H53" s="40">
        <v>6</v>
      </c>
      <c r="I53" s="40">
        <v>-3</v>
      </c>
      <c r="J53" s="33" t="s">
        <v>81</v>
      </c>
      <c r="K53" s="24">
        <v>130.98391207936299</v>
      </c>
      <c r="L53" s="24">
        <v>23.3780273379543</v>
      </c>
      <c r="M53" s="24">
        <v>85.799705020380102</v>
      </c>
      <c r="N53" s="24">
        <v>18.127340605996501</v>
      </c>
      <c r="O53" s="24">
        <v>1079467.5</v>
      </c>
      <c r="P53" s="55">
        <v>9.7586119177819307E-3</v>
      </c>
      <c r="Q53" s="25">
        <f t="shared" si="0"/>
        <v>1.5266242704243591</v>
      </c>
      <c r="R53" s="25">
        <f t="shared" si="1"/>
        <v>0.17848014284219563</v>
      </c>
      <c r="S53" s="25">
        <f t="shared" si="2"/>
        <v>9.6248775787272718E-4</v>
      </c>
      <c r="T53" s="53">
        <f t="shared" si="3"/>
        <v>0.33333333333333331</v>
      </c>
      <c r="U53" s="25">
        <f t="shared" si="4"/>
        <v>-2.0106119527554358</v>
      </c>
      <c r="V53" s="26">
        <f t="shared" si="5"/>
        <v>-6.945989210976494</v>
      </c>
      <c r="W53" s="25">
        <f t="shared" si="6"/>
        <v>-1.0986122886681098</v>
      </c>
      <c r="X53" s="25">
        <f t="shared" si="7"/>
        <v>1038.9742537714783</v>
      </c>
      <c r="Y53" s="25">
        <f t="shared" si="8"/>
        <v>586.17845155217117</v>
      </c>
      <c r="Z53" s="25">
        <f t="shared" si="9"/>
        <v>0.58617845155217119</v>
      </c>
    </row>
    <row r="54" spans="1:26" s="25" customFormat="1" ht="20.100000000000001" customHeight="1">
      <c r="A54" s="34">
        <v>2840</v>
      </c>
      <c r="B54" s="31" t="s">
        <v>15</v>
      </c>
      <c r="C54" s="31" t="s">
        <v>50</v>
      </c>
      <c r="D54" s="31" t="s">
        <v>17</v>
      </c>
      <c r="E54" s="32">
        <v>3</v>
      </c>
      <c r="F54" s="42">
        <v>2</v>
      </c>
      <c r="G54" s="40">
        <v>7</v>
      </c>
      <c r="H54" s="40">
        <v>6</v>
      </c>
      <c r="I54" s="40">
        <v>-1</v>
      </c>
      <c r="J54" s="35" t="s">
        <v>71</v>
      </c>
      <c r="K54" s="24">
        <v>157.76509763814701</v>
      </c>
      <c r="L54" s="24">
        <v>25.7739512204056</v>
      </c>
      <c r="M54" s="24">
        <v>69.083416710857406</v>
      </c>
      <c r="N54" s="24">
        <v>24.0347049390998</v>
      </c>
      <c r="O54" s="24">
        <v>1352934</v>
      </c>
      <c r="P54" s="55">
        <v>1.0160450479001999E-2</v>
      </c>
      <c r="Q54" s="25">
        <f t="shared" si="0"/>
        <v>2.28368985133522</v>
      </c>
      <c r="R54" s="25">
        <f t="shared" si="1"/>
        <v>0.16336915836429941</v>
      </c>
      <c r="S54" s="25">
        <f t="shared" si="2"/>
        <v>8.5972923377556493E-4</v>
      </c>
      <c r="T54" s="53">
        <f t="shared" si="3"/>
        <v>0.16666666666666666</v>
      </c>
      <c r="U54" s="25">
        <f t="shared" si="4"/>
        <v>-1.993087036519845</v>
      </c>
      <c r="V54" s="26">
        <f t="shared" si="5"/>
        <v>-7.0588930627376572</v>
      </c>
      <c r="W54" s="25">
        <f t="shared" si="6"/>
        <v>-1.791759469228055</v>
      </c>
      <c r="X54" s="25">
        <f t="shared" si="7"/>
        <v>1163.1569111689103</v>
      </c>
      <c r="Y54" s="25">
        <f t="shared" si="8"/>
        <v>656.24101331308202</v>
      </c>
      <c r="Z54" s="25">
        <f t="shared" si="9"/>
        <v>0.65624101331308204</v>
      </c>
    </row>
    <row r="55" spans="1:26" s="25" customFormat="1" ht="20.100000000000001" customHeight="1">
      <c r="A55" s="34">
        <v>3282</v>
      </c>
      <c r="B55" s="31" t="s">
        <v>18</v>
      </c>
      <c r="C55" s="31" t="s">
        <v>67</v>
      </c>
      <c r="D55" s="31" t="s">
        <v>18</v>
      </c>
      <c r="E55" s="32">
        <v>3</v>
      </c>
      <c r="F55" s="42">
        <v>2</v>
      </c>
      <c r="G55" s="40">
        <v>6</v>
      </c>
      <c r="H55" s="40">
        <v>7</v>
      </c>
      <c r="I55" s="40">
        <v>-2</v>
      </c>
      <c r="J55" s="33" t="s">
        <v>81</v>
      </c>
      <c r="K55" s="24">
        <v>135.521879287095</v>
      </c>
      <c r="L55" s="24">
        <v>21.994777542146402</v>
      </c>
      <c r="M55" s="24">
        <v>80.619696651321206</v>
      </c>
      <c r="N55" s="24">
        <v>24.680689602723401</v>
      </c>
      <c r="O55" s="24">
        <v>2318079.5</v>
      </c>
      <c r="P55" s="55">
        <v>5.4473998764510301E-3</v>
      </c>
      <c r="Q55" s="25">
        <f t="shared" si="0"/>
        <v>1.681002098943944</v>
      </c>
      <c r="R55" s="25">
        <f t="shared" si="1"/>
        <v>0.16229687529311618</v>
      </c>
      <c r="S55" s="25">
        <f t="shared" si="2"/>
        <v>6.5680407235350978E-4</v>
      </c>
      <c r="T55" s="53">
        <f t="shared" si="3"/>
        <v>0.2</v>
      </c>
      <c r="U55" s="25">
        <f t="shared" si="4"/>
        <v>-2.2638107433679728</v>
      </c>
      <c r="V55" s="26">
        <f t="shared" si="5"/>
        <v>-7.3281247995506522</v>
      </c>
      <c r="W55" s="25">
        <f t="shared" si="6"/>
        <v>-1.6094379124341003</v>
      </c>
      <c r="X55" s="25">
        <f t="shared" si="7"/>
        <v>1522.5240556391875</v>
      </c>
      <c r="Y55" s="25">
        <f t="shared" si="8"/>
        <v>858.9922128925142</v>
      </c>
      <c r="Z55" s="25">
        <f t="shared" si="9"/>
        <v>0.85899221289251426</v>
      </c>
    </row>
    <row r="56" spans="1:26" s="25" customFormat="1" ht="32.1" customHeight="1">
      <c r="A56" s="34">
        <v>3478</v>
      </c>
      <c r="B56" s="31" t="s">
        <v>16</v>
      </c>
      <c r="C56" s="31" t="s">
        <v>48</v>
      </c>
      <c r="D56" s="31" t="s">
        <v>15</v>
      </c>
      <c r="E56" s="32">
        <v>3</v>
      </c>
      <c r="F56" s="42">
        <v>5</v>
      </c>
      <c r="G56" s="40">
        <v>12</v>
      </c>
      <c r="H56" s="40">
        <v>8</v>
      </c>
      <c r="I56" s="41"/>
      <c r="J56" s="33" t="s">
        <v>81</v>
      </c>
      <c r="K56" s="24">
        <v>206.21017777811699</v>
      </c>
      <c r="L56" s="24">
        <v>28.341306646045499</v>
      </c>
      <c r="M56" s="24">
        <v>51.081744730432902</v>
      </c>
      <c r="N56" s="24">
        <v>20.283928318364602</v>
      </c>
      <c r="O56" s="24">
        <v>331768.5</v>
      </c>
      <c r="P56" s="55">
        <v>4.1757104776523599E-2</v>
      </c>
      <c r="Q56" s="25">
        <f t="shared" si="0"/>
        <v>4.0368663769478381</v>
      </c>
      <c r="R56" s="25">
        <f t="shared" si="1"/>
        <v>0.13743893221672532</v>
      </c>
      <c r="S56" s="25">
        <f t="shared" si="2"/>
        <v>1.73613073437213E-3</v>
      </c>
      <c r="T56" s="53">
        <f t="shared" si="3"/>
        <v>1</v>
      </c>
      <c r="U56" s="25">
        <f t="shared" si="4"/>
        <v>-1.3792696207138593</v>
      </c>
      <c r="V56" s="26">
        <f t="shared" si="5"/>
        <v>-6.3560963577614231</v>
      </c>
      <c r="W56" s="25">
        <f t="shared" si="6"/>
        <v>0</v>
      </c>
      <c r="X56" s="25">
        <f t="shared" si="7"/>
        <v>575.99348954653988</v>
      </c>
      <c r="Y56" s="25">
        <f t="shared" si="8"/>
        <v>324.96952699348128</v>
      </c>
      <c r="Z56" s="25">
        <f t="shared" si="9"/>
        <v>0.32496952699348131</v>
      </c>
    </row>
    <row r="57" spans="1:26" s="25" customFormat="1" ht="44.1" customHeight="1">
      <c r="A57" s="34">
        <v>3420</v>
      </c>
      <c r="B57" s="31" t="s">
        <v>44</v>
      </c>
      <c r="C57" s="31" t="s">
        <v>67</v>
      </c>
      <c r="D57" s="31" t="s">
        <v>15</v>
      </c>
      <c r="E57" s="32">
        <v>2</v>
      </c>
      <c r="F57" s="43"/>
      <c r="G57" s="41"/>
      <c r="H57" s="41"/>
      <c r="I57" s="41"/>
      <c r="J57" s="35" t="s">
        <v>71</v>
      </c>
      <c r="K57" s="24">
        <v>223.124836743852</v>
      </c>
      <c r="L57" s="24">
        <v>20.792162646391301</v>
      </c>
      <c r="M57" s="24">
        <v>54.294894300880998</v>
      </c>
      <c r="N57" s="24">
        <v>20.724690408950998</v>
      </c>
      <c r="O57" s="24">
        <v>381083.5</v>
      </c>
      <c r="P57" s="55">
        <v>5.6031814352083299E-2</v>
      </c>
      <c r="Q57" s="25">
        <f t="shared" si="0"/>
        <v>4.1094994219416234</v>
      </c>
      <c r="R57" s="25">
        <f t="shared" si="1"/>
        <v>9.318623130360322E-2</v>
      </c>
      <c r="S57" s="25">
        <f t="shared" si="2"/>
        <v>1.6199064228146706E-3</v>
      </c>
      <c r="T57" s="53">
        <f t="shared" si="3"/>
        <v>1</v>
      </c>
      <c r="U57" s="25">
        <f t="shared" si="4"/>
        <v>-1.2515653145243921</v>
      </c>
      <c r="V57" s="26">
        <f t="shared" si="5"/>
        <v>-6.4253868951008783</v>
      </c>
      <c r="W57" s="25">
        <f t="shared" si="6"/>
        <v>0</v>
      </c>
      <c r="X57" s="25">
        <f t="shared" si="7"/>
        <v>617.31960927869443</v>
      </c>
      <c r="Y57" s="25">
        <f t="shared" si="8"/>
        <v>348.28529327481027</v>
      </c>
      <c r="Z57" s="25">
        <f t="shared" si="9"/>
        <v>0.34828529327481028</v>
      </c>
    </row>
    <row r="58" spans="1:26" s="25" customFormat="1" ht="20.100000000000001" customHeight="1">
      <c r="A58" s="34">
        <v>3421</v>
      </c>
      <c r="B58" s="31" t="s">
        <v>15</v>
      </c>
      <c r="C58" s="31" t="s">
        <v>48</v>
      </c>
      <c r="D58" s="31" t="s">
        <v>15</v>
      </c>
      <c r="E58" s="32">
        <v>3</v>
      </c>
      <c r="F58" s="42">
        <v>3</v>
      </c>
      <c r="G58" s="40">
        <v>6</v>
      </c>
      <c r="H58" s="40">
        <v>6</v>
      </c>
      <c r="I58" s="41"/>
      <c r="J58" s="33" t="s">
        <v>81</v>
      </c>
      <c r="K58" s="24">
        <v>178.88824356030699</v>
      </c>
      <c r="L58" s="24">
        <v>28.108946945990599</v>
      </c>
      <c r="M58" s="24">
        <v>70.901311410395195</v>
      </c>
      <c r="N58" s="24">
        <v>18.490227558893199</v>
      </c>
      <c r="O58" s="24">
        <v>259988</v>
      </c>
      <c r="P58" s="55">
        <v>2.08075359994341E-2</v>
      </c>
      <c r="Q58" s="25">
        <f t="shared" si="0"/>
        <v>2.5230597291050851</v>
      </c>
      <c r="R58" s="25">
        <f t="shared" si="1"/>
        <v>0.15713132616517911</v>
      </c>
      <c r="S58" s="25">
        <f t="shared" si="2"/>
        <v>1.9612066105181561E-3</v>
      </c>
      <c r="T58" s="53">
        <f t="shared" si="3"/>
        <v>1</v>
      </c>
      <c r="U58" s="25">
        <f t="shared" si="4"/>
        <v>-1.6817793453148839</v>
      </c>
      <c r="V58" s="26">
        <f t="shared" si="5"/>
        <v>-6.2341953775431946</v>
      </c>
      <c r="W58" s="25">
        <f t="shared" si="6"/>
        <v>0</v>
      </c>
      <c r="X58" s="25">
        <f t="shared" si="7"/>
        <v>509.89018425539433</v>
      </c>
      <c r="Y58" s="25">
        <f t="shared" si="8"/>
        <v>287.67473071013967</v>
      </c>
      <c r="Z58" s="25">
        <f t="shared" si="9"/>
        <v>0.28767473071013966</v>
      </c>
    </row>
    <row r="59" spans="1:26" s="25" customFormat="1" ht="20.100000000000001" customHeight="1">
      <c r="A59" s="34">
        <v>3422</v>
      </c>
      <c r="B59" s="31" t="s">
        <v>13</v>
      </c>
      <c r="C59" s="31" t="s">
        <v>69</v>
      </c>
      <c r="D59" s="31" t="s">
        <v>15</v>
      </c>
      <c r="E59" s="32">
        <v>2</v>
      </c>
      <c r="F59" s="42">
        <v>3</v>
      </c>
      <c r="G59" s="40">
        <v>6</v>
      </c>
      <c r="H59" s="40">
        <v>6</v>
      </c>
      <c r="I59" s="41"/>
      <c r="J59" s="33" t="s">
        <v>81</v>
      </c>
      <c r="K59" s="24">
        <v>204.61635500353901</v>
      </c>
      <c r="L59" s="24">
        <v>28.619883589582201</v>
      </c>
      <c r="M59" s="24">
        <v>64.358383468804703</v>
      </c>
      <c r="N59" s="24">
        <v>30.923699410447401</v>
      </c>
      <c r="O59" s="24">
        <v>200571.5</v>
      </c>
      <c r="P59" s="55">
        <v>2.2106501914201802E-2</v>
      </c>
      <c r="Q59" s="25">
        <f t="shared" si="0"/>
        <v>3.1793271361876121</v>
      </c>
      <c r="R59" s="25">
        <f t="shared" si="1"/>
        <v>0.13987094819027149</v>
      </c>
      <c r="S59" s="25">
        <f t="shared" si="2"/>
        <v>2.2328800259310503E-3</v>
      </c>
      <c r="T59" s="53">
        <f t="shared" si="3"/>
        <v>1</v>
      </c>
      <c r="U59" s="25">
        <f t="shared" si="4"/>
        <v>-1.6554799738188655</v>
      </c>
      <c r="V59" s="26">
        <f t="shared" si="5"/>
        <v>-6.1044630353189362</v>
      </c>
      <c r="W59" s="25">
        <f t="shared" si="6"/>
        <v>0</v>
      </c>
      <c r="X59" s="25">
        <f t="shared" si="7"/>
        <v>447.85209612102966</v>
      </c>
      <c r="Y59" s="25">
        <f t="shared" si="8"/>
        <v>252.67348760151344</v>
      </c>
      <c r="Z59" s="25">
        <f t="shared" si="9"/>
        <v>0.25267348760151342</v>
      </c>
    </row>
    <row r="60" spans="1:26" s="25" customFormat="1" ht="20.100000000000001" customHeight="1">
      <c r="A60" s="34">
        <v>3424</v>
      </c>
      <c r="B60" s="31" t="s">
        <v>22</v>
      </c>
      <c r="C60" s="31" t="s">
        <v>52</v>
      </c>
      <c r="D60" s="31" t="s">
        <v>16</v>
      </c>
      <c r="E60" s="32">
        <v>2</v>
      </c>
      <c r="F60" s="42">
        <v>5</v>
      </c>
      <c r="G60" s="40">
        <v>7</v>
      </c>
      <c r="H60" s="40">
        <v>6</v>
      </c>
      <c r="I60" s="41"/>
      <c r="J60" s="33" t="s">
        <v>81</v>
      </c>
      <c r="K60" s="24">
        <v>199.00492562145001</v>
      </c>
      <c r="L60" s="24">
        <v>27.3421487252294</v>
      </c>
      <c r="M60" s="24">
        <v>43.8401244046172</v>
      </c>
      <c r="N60" s="24">
        <v>24.150659755891699</v>
      </c>
      <c r="O60" s="24">
        <v>952113</v>
      </c>
      <c r="P60" s="55">
        <v>2.0797164826130601E-2</v>
      </c>
      <c r="Q60" s="25">
        <f t="shared" si="0"/>
        <v>4.5393330498964328</v>
      </c>
      <c r="R60" s="25">
        <f t="shared" si="1"/>
        <v>0.13739433152142186</v>
      </c>
      <c r="S60" s="25">
        <f t="shared" si="2"/>
        <v>1.02483925600023E-3</v>
      </c>
      <c r="T60" s="53">
        <f t="shared" si="3"/>
        <v>0.25</v>
      </c>
      <c r="U60" s="25">
        <f t="shared" si="4"/>
        <v>-1.6819958662050953</v>
      </c>
      <c r="V60" s="26">
        <f t="shared" si="5"/>
        <v>-6.8832195021042528</v>
      </c>
      <c r="W60" s="25">
        <f t="shared" si="6"/>
        <v>-1.3862943611198906</v>
      </c>
      <c r="X60" s="25">
        <f t="shared" si="7"/>
        <v>975.76277854814691</v>
      </c>
      <c r="Y60" s="25">
        <f t="shared" si="8"/>
        <v>550.51519567048058</v>
      </c>
      <c r="Z60" s="25">
        <f t="shared" si="9"/>
        <v>0.55051519567048057</v>
      </c>
    </row>
    <row r="61" spans="1:26" s="25" customFormat="1" ht="20.100000000000001" customHeight="1">
      <c r="A61" s="34">
        <v>3427</v>
      </c>
      <c r="B61" s="31" t="s">
        <v>13</v>
      </c>
      <c r="C61" s="31" t="s">
        <v>53</v>
      </c>
      <c r="D61" s="31" t="s">
        <v>13</v>
      </c>
      <c r="E61" s="32">
        <v>2</v>
      </c>
      <c r="F61" s="42">
        <v>5</v>
      </c>
      <c r="G61" s="40">
        <v>12</v>
      </c>
      <c r="H61" s="40">
        <v>7</v>
      </c>
      <c r="I61" s="41"/>
      <c r="J61" s="31" t="s">
        <v>45</v>
      </c>
      <c r="K61" s="24">
        <v>180.35935308996201</v>
      </c>
      <c r="L61" s="24">
        <v>34.149677083141</v>
      </c>
      <c r="M61" s="24">
        <v>43.794178830892101</v>
      </c>
      <c r="N61" s="24">
        <v>21.000254274839602</v>
      </c>
      <c r="O61" s="24">
        <v>408196</v>
      </c>
      <c r="P61" s="55">
        <v>1.56011403214381E-2</v>
      </c>
      <c r="Q61" s="25">
        <f t="shared" si="0"/>
        <v>4.1183407910536687</v>
      </c>
      <c r="R61" s="25">
        <f t="shared" si="1"/>
        <v>0.18934242387810837</v>
      </c>
      <c r="S61" s="25">
        <f t="shared" si="2"/>
        <v>1.5651848215968728E-3</v>
      </c>
      <c r="T61" s="53">
        <f t="shared" si="3"/>
        <v>0.33333333333333331</v>
      </c>
      <c r="U61" s="25">
        <f t="shared" si="4"/>
        <v>-1.8068436569526662</v>
      </c>
      <c r="V61" s="26">
        <f t="shared" si="5"/>
        <v>-6.4597513650958955</v>
      </c>
      <c r="W61" s="25">
        <f t="shared" si="6"/>
        <v>-1.0986122886681098</v>
      </c>
      <c r="X61" s="25">
        <f t="shared" si="7"/>
        <v>638.90218343655704</v>
      </c>
      <c r="Y61" s="25">
        <f t="shared" si="8"/>
        <v>360.46195680082332</v>
      </c>
      <c r="Z61" s="25">
        <f t="shared" si="9"/>
        <v>0.36046195680082332</v>
      </c>
    </row>
    <row r="62" spans="1:26" s="25" customFormat="1" ht="20.100000000000001" customHeight="1">
      <c r="A62" s="34">
        <v>3428</v>
      </c>
      <c r="B62" s="31" t="s">
        <v>16</v>
      </c>
      <c r="C62" s="31" t="s">
        <v>52</v>
      </c>
      <c r="D62" s="31" t="s">
        <v>15</v>
      </c>
      <c r="E62" s="32">
        <v>2</v>
      </c>
      <c r="F62" s="42">
        <v>5</v>
      </c>
      <c r="G62" s="40">
        <v>7</v>
      </c>
      <c r="H62" s="40">
        <v>6</v>
      </c>
      <c r="I62" s="41"/>
      <c r="J62" s="35" t="s">
        <v>71</v>
      </c>
      <c r="K62" s="24">
        <v>208.87178706405601</v>
      </c>
      <c r="L62" s="24">
        <v>37.649922212038803</v>
      </c>
      <c r="M62" s="24">
        <v>37.232021344325702</v>
      </c>
      <c r="N62" s="24">
        <v>13.4839905217005</v>
      </c>
      <c r="O62" s="24">
        <v>120203.5</v>
      </c>
      <c r="P62" s="55">
        <v>7.8076291192842498E-2</v>
      </c>
      <c r="Q62" s="25">
        <f t="shared" si="0"/>
        <v>5.6100039568732374</v>
      </c>
      <c r="R62" s="25">
        <f t="shared" si="1"/>
        <v>0.18025374676615596</v>
      </c>
      <c r="S62" s="25">
        <f t="shared" si="2"/>
        <v>2.8843067301760374E-3</v>
      </c>
      <c r="T62" s="53">
        <f t="shared" si="3"/>
        <v>1</v>
      </c>
      <c r="U62" s="25">
        <f t="shared" si="4"/>
        <v>-1.1074808248590222</v>
      </c>
      <c r="V62" s="26">
        <f t="shared" si="5"/>
        <v>-5.8484707093978798</v>
      </c>
      <c r="W62" s="25">
        <f t="shared" si="6"/>
        <v>0</v>
      </c>
      <c r="X62" s="25">
        <f t="shared" si="7"/>
        <v>346.70376404071533</v>
      </c>
      <c r="Y62" s="25">
        <f t="shared" si="8"/>
        <v>195.60665224857073</v>
      </c>
      <c r="Z62" s="25">
        <f t="shared" si="9"/>
        <v>0.19560665224857074</v>
      </c>
    </row>
    <row r="63" spans="1:26" s="25" customFormat="1" ht="32.1" customHeight="1">
      <c r="A63" s="34">
        <v>3431</v>
      </c>
      <c r="B63" s="31" t="s">
        <v>40</v>
      </c>
      <c r="C63" s="31" t="s">
        <v>50</v>
      </c>
      <c r="D63" s="31" t="s">
        <v>20</v>
      </c>
      <c r="E63" s="32">
        <v>2</v>
      </c>
      <c r="F63" s="42">
        <v>3</v>
      </c>
      <c r="G63" s="40">
        <v>6</v>
      </c>
      <c r="H63" s="40">
        <v>6</v>
      </c>
      <c r="I63" s="40">
        <v>-2</v>
      </c>
      <c r="J63" s="31" t="s">
        <v>45</v>
      </c>
      <c r="K63" s="24">
        <v>174.55775590326701</v>
      </c>
      <c r="L63" s="24">
        <v>28.4941887799013</v>
      </c>
      <c r="M63" s="24">
        <v>67.965212418155701</v>
      </c>
      <c r="N63" s="24">
        <v>26.5250568841609</v>
      </c>
      <c r="O63" s="24">
        <v>1265301.5</v>
      </c>
      <c r="P63" s="55">
        <v>1.06348064880938E-2</v>
      </c>
      <c r="Q63" s="25">
        <f t="shared" si="0"/>
        <v>2.5683397387078126</v>
      </c>
      <c r="R63" s="25">
        <f t="shared" si="1"/>
        <v>0.16323645221293775</v>
      </c>
      <c r="S63" s="25">
        <f t="shared" si="2"/>
        <v>8.8900251286627761E-4</v>
      </c>
      <c r="T63" s="53">
        <f t="shared" si="3"/>
        <v>0.66666666666666663</v>
      </c>
      <c r="U63" s="25">
        <f t="shared" si="4"/>
        <v>-1.9732704081512522</v>
      </c>
      <c r="V63" s="26">
        <f t="shared" si="5"/>
        <v>-7.02541049583313</v>
      </c>
      <c r="W63" s="25">
        <f t="shared" si="6"/>
        <v>-0.40546510810816444</v>
      </c>
      <c r="X63" s="25">
        <f t="shared" si="7"/>
        <v>1124.8562130334703</v>
      </c>
      <c r="Y63" s="25">
        <f t="shared" si="8"/>
        <v>634.63215838245981</v>
      </c>
      <c r="Z63" s="25">
        <f t="shared" si="9"/>
        <v>0.63463215838245979</v>
      </c>
    </row>
    <row r="64" spans="1:26" s="25" customFormat="1" ht="20.100000000000001" customHeight="1">
      <c r="A64" s="34">
        <v>3333</v>
      </c>
      <c r="B64" s="31" t="s">
        <v>13</v>
      </c>
      <c r="C64" s="31" t="s">
        <v>63</v>
      </c>
      <c r="D64" s="31" t="s">
        <v>23</v>
      </c>
      <c r="E64" s="32">
        <v>2</v>
      </c>
      <c r="F64" s="42">
        <v>5</v>
      </c>
      <c r="G64" s="40">
        <v>6</v>
      </c>
      <c r="H64" s="40">
        <v>6</v>
      </c>
      <c r="I64" s="41"/>
      <c r="J64" s="35" t="s">
        <v>71</v>
      </c>
      <c r="K64" s="24">
        <v>209.655970905478</v>
      </c>
      <c r="L64" s="24">
        <v>30.250064184864701</v>
      </c>
      <c r="M64" s="24">
        <v>52.1353700861848</v>
      </c>
      <c r="N64" s="24">
        <v>23.865790744548999</v>
      </c>
      <c r="O64" s="24">
        <v>116853</v>
      </c>
      <c r="P64" s="55">
        <v>7.1193257349861594E-2</v>
      </c>
      <c r="Q64" s="25">
        <f t="shared" si="0"/>
        <v>4.0213768610234553</v>
      </c>
      <c r="R64" s="25">
        <f t="shared" si="1"/>
        <v>0.14428429609811944</v>
      </c>
      <c r="S64" s="25">
        <f t="shared" si="2"/>
        <v>2.9253650379405353E-3</v>
      </c>
      <c r="T64" s="53">
        <f t="shared" si="3"/>
        <v>2</v>
      </c>
      <c r="U64" s="25">
        <f t="shared" si="4"/>
        <v>-1.1475611360599454</v>
      </c>
      <c r="V64" s="26">
        <f t="shared" si="5"/>
        <v>-5.8343360067891918</v>
      </c>
      <c r="W64" s="25">
        <f t="shared" si="6"/>
        <v>0.69314718055994529</v>
      </c>
      <c r="X64" s="25">
        <f t="shared" si="7"/>
        <v>341.83768077846537</v>
      </c>
      <c r="Y64" s="25">
        <f t="shared" si="8"/>
        <v>192.86125875933325</v>
      </c>
      <c r="Z64" s="25">
        <f t="shared" si="9"/>
        <v>0.19286125875933327</v>
      </c>
    </row>
    <row r="65" spans="1:26" s="25" customFormat="1" ht="20.100000000000001" customHeight="1">
      <c r="A65" s="34">
        <v>3670</v>
      </c>
      <c r="B65" s="31" t="s">
        <v>15</v>
      </c>
      <c r="C65" s="31" t="s">
        <v>54</v>
      </c>
      <c r="D65" s="31" t="s">
        <v>13</v>
      </c>
      <c r="E65" s="32">
        <v>2</v>
      </c>
      <c r="F65" s="42">
        <v>5</v>
      </c>
      <c r="G65" s="40">
        <v>10</v>
      </c>
      <c r="H65" s="40">
        <v>8</v>
      </c>
      <c r="I65" s="41"/>
      <c r="J65" s="33" t="s">
        <v>81</v>
      </c>
      <c r="K65" s="24">
        <v>184.94936379491099</v>
      </c>
      <c r="L65" s="24">
        <v>34.6108832481466</v>
      </c>
      <c r="M65" s="24">
        <v>45.173887677354699</v>
      </c>
      <c r="N65" s="24">
        <v>23.2659861582944</v>
      </c>
      <c r="O65" s="24">
        <v>4237038.5</v>
      </c>
      <c r="P65" s="55">
        <v>-2.7017085942425299E-3</v>
      </c>
      <c r="Q65" s="25">
        <f t="shared" si="0"/>
        <v>4.0941653088588303</v>
      </c>
      <c r="R65" s="25">
        <f t="shared" si="1"/>
        <v>0.18713707653802128</v>
      </c>
      <c r="S65" s="25">
        <f t="shared" si="2"/>
        <v>4.8581262285285573E-4</v>
      </c>
      <c r="T65" s="53">
        <f t="shared" si="3"/>
        <v>0.33333333333333331</v>
      </c>
      <c r="U65" s="25" t="e">
        <f t="shared" si="4"/>
        <v>#NUM!</v>
      </c>
      <c r="V65" s="26">
        <f t="shared" si="5"/>
        <v>-7.6296875580926518</v>
      </c>
      <c r="W65" s="25">
        <f t="shared" si="6"/>
        <v>-1.0986122886681098</v>
      </c>
      <c r="X65" s="25">
        <f t="shared" si="7"/>
        <v>2058.4067868135298</v>
      </c>
      <c r="Y65" s="25">
        <f t="shared" si="8"/>
        <v>1161.3316678242006</v>
      </c>
      <c r="Z65" s="25">
        <f t="shared" si="9"/>
        <v>1.1613316678242007</v>
      </c>
    </row>
    <row r="66" spans="1:26" s="25" customFormat="1" ht="46.9" customHeight="1">
      <c r="A66" s="34">
        <v>3671</v>
      </c>
      <c r="B66" s="31" t="s">
        <v>13</v>
      </c>
      <c r="C66" s="31" t="s">
        <v>57</v>
      </c>
      <c r="D66" s="31" t="s">
        <v>16</v>
      </c>
      <c r="E66" s="32">
        <v>2</v>
      </c>
      <c r="F66" s="44">
        <v>5</v>
      </c>
      <c r="G66" s="40">
        <v>11</v>
      </c>
      <c r="H66" s="40">
        <v>7</v>
      </c>
      <c r="I66" s="41"/>
      <c r="J66" s="31" t="s">
        <v>45</v>
      </c>
      <c r="K66" s="24">
        <v>176.13125411665101</v>
      </c>
      <c r="L66" s="24">
        <v>35.479321726933698</v>
      </c>
      <c r="M66" s="24">
        <v>85.256131266896503</v>
      </c>
      <c r="N66" s="24">
        <v>23.645753046431501</v>
      </c>
      <c r="O66" s="24">
        <v>337096.5</v>
      </c>
      <c r="P66" s="55">
        <v>1.1644880528893399E-2</v>
      </c>
      <c r="Q66" s="25">
        <f t="shared" si="0"/>
        <v>2.0659071846137094</v>
      </c>
      <c r="R66" s="25">
        <f t="shared" si="1"/>
        <v>0.20143683132714135</v>
      </c>
      <c r="S66" s="25">
        <f t="shared" si="2"/>
        <v>1.7223558256016314E-3</v>
      </c>
      <c r="T66" s="53">
        <f t="shared" si="3"/>
        <v>0.25</v>
      </c>
      <c r="U66" s="25">
        <f t="shared" si="4"/>
        <v>-1.9338649627676434</v>
      </c>
      <c r="V66" s="26">
        <f t="shared" si="5"/>
        <v>-6.3640622592462437</v>
      </c>
      <c r="W66" s="25">
        <f t="shared" si="6"/>
        <v>-1.3862943611198906</v>
      </c>
      <c r="X66" s="25">
        <f t="shared" si="7"/>
        <v>580.6001205649203</v>
      </c>
      <c r="Y66" s="25">
        <f t="shared" si="8"/>
        <v>327.56854022929951</v>
      </c>
      <c r="Z66" s="25">
        <f t="shared" si="9"/>
        <v>0.32756854022929954</v>
      </c>
    </row>
    <row r="67" spans="1:26" s="25" customFormat="1" ht="20.100000000000001" customHeight="1">
      <c r="A67" s="34">
        <v>3520</v>
      </c>
      <c r="B67" s="31" t="s">
        <v>15</v>
      </c>
      <c r="C67" s="31" t="s">
        <v>59</v>
      </c>
      <c r="D67" s="31" t="s">
        <v>23</v>
      </c>
      <c r="E67" s="32">
        <v>2</v>
      </c>
      <c r="F67" s="42">
        <v>5</v>
      </c>
      <c r="G67" s="40">
        <v>6</v>
      </c>
      <c r="H67" s="40">
        <v>6</v>
      </c>
      <c r="I67" s="41"/>
      <c r="J67" s="33" t="s">
        <v>81</v>
      </c>
      <c r="K67" s="24">
        <v>189.10256317395999</v>
      </c>
      <c r="L67" s="24">
        <v>36.200335914930598</v>
      </c>
      <c r="M67" s="24">
        <v>57.518039913585298</v>
      </c>
      <c r="N67" s="24">
        <v>24.642103467389799</v>
      </c>
      <c r="O67" s="24">
        <v>213907</v>
      </c>
      <c r="P67" s="55">
        <v>2.16502281170305E-2</v>
      </c>
      <c r="Q67" s="25">
        <f t="shared" si="0"/>
        <v>3.2877087511686138</v>
      </c>
      <c r="R67" s="25">
        <f t="shared" si="1"/>
        <v>0.19143228577832147</v>
      </c>
      <c r="S67" s="25">
        <f t="shared" si="2"/>
        <v>2.1621583716760089E-3</v>
      </c>
      <c r="T67" s="53">
        <f t="shared" si="3"/>
        <v>2</v>
      </c>
      <c r="U67" s="25">
        <f t="shared" si="4"/>
        <v>-1.6645375233546966</v>
      </c>
      <c r="V67" s="26">
        <f t="shared" si="5"/>
        <v>-6.1366483100538627</v>
      </c>
      <c r="W67" s="25">
        <f t="shared" si="6"/>
        <v>0.69314718055994529</v>
      </c>
      <c r="X67" s="25">
        <f t="shared" si="7"/>
        <v>462.50081081010012</v>
      </c>
      <c r="Y67" s="25">
        <f t="shared" si="8"/>
        <v>260.93813984144998</v>
      </c>
      <c r="Z67" s="25">
        <f t="shared" si="9"/>
        <v>0.26093813984144998</v>
      </c>
    </row>
    <row r="68" spans="1:26" s="25" customFormat="1" ht="20.100000000000001" customHeight="1">
      <c r="A68" s="34">
        <v>3559</v>
      </c>
      <c r="B68" s="31" t="s">
        <v>13</v>
      </c>
      <c r="C68" s="31" t="s">
        <v>50</v>
      </c>
      <c r="D68" s="31" t="s">
        <v>18</v>
      </c>
      <c r="E68" s="32">
        <v>4</v>
      </c>
      <c r="F68" s="42">
        <v>5</v>
      </c>
      <c r="G68" s="40">
        <v>7</v>
      </c>
      <c r="H68" s="40">
        <v>6</v>
      </c>
      <c r="I68" s="41"/>
      <c r="J68" s="33" t="s">
        <v>81</v>
      </c>
      <c r="K68" s="24">
        <v>163.20222624450099</v>
      </c>
      <c r="L68" s="24">
        <v>33.405204286447002</v>
      </c>
      <c r="M68" s="24">
        <v>64.823583176381305</v>
      </c>
      <c r="N68" s="24">
        <v>26.136778526400199</v>
      </c>
      <c r="O68" s="24">
        <v>1187381.5</v>
      </c>
      <c r="P68" s="55">
        <v>6.2734404679849103E-3</v>
      </c>
      <c r="Q68" s="25">
        <f t="shared" ref="Q68:Q85" si="10">K68/M68</f>
        <v>2.5176366107445336</v>
      </c>
      <c r="R68" s="25">
        <f t="shared" ref="R68:R85" si="11">L68/K68</f>
        <v>0.20468595959224894</v>
      </c>
      <c r="S68" s="25">
        <f t="shared" ref="S68:S85" si="12">1/SQRT(O68)</f>
        <v>9.1770872545996948E-4</v>
      </c>
      <c r="T68" s="53">
        <f t="shared" ref="T68:T85" si="13" xml:space="preserve"> 1/ D68</f>
        <v>0.2</v>
      </c>
      <c r="U68" s="25">
        <f t="shared" ref="U68:U85" si="14">LOG10(P68)</f>
        <v>-2.2024942189030194</v>
      </c>
      <c r="V68" s="26">
        <f t="shared" ref="V68:V85" si="15">LN(S68)</f>
        <v>-6.9936305102189742</v>
      </c>
      <c r="W68" s="25">
        <f t="shared" ref="W68:W85" si="16">LN(T68)</f>
        <v>-1.6094379124341003</v>
      </c>
      <c r="X68" s="25">
        <f t="shared" ref="X68:X85" si="17">SQRT(O68)</f>
        <v>1089.6703629997469</v>
      </c>
      <c r="Y68" s="25">
        <f t="shared" ref="Y68:Y85" si="18">SQRT(O68/PI())</f>
        <v>614.78066830515957</v>
      </c>
      <c r="Z68" s="25">
        <f t="shared" ref="Z68:Z85" si="19">Y68*0.001</f>
        <v>0.61478066830515954</v>
      </c>
    </row>
    <row r="69" spans="1:26" s="25" customFormat="1" ht="32.1" customHeight="1">
      <c r="A69" s="34">
        <v>3560</v>
      </c>
      <c r="B69" s="31" t="s">
        <v>16</v>
      </c>
      <c r="C69" s="31" t="s">
        <v>51</v>
      </c>
      <c r="D69" s="31" t="s">
        <v>15</v>
      </c>
      <c r="E69" s="32">
        <v>3</v>
      </c>
      <c r="F69" s="42">
        <v>3</v>
      </c>
      <c r="G69" s="40">
        <v>4</v>
      </c>
      <c r="H69" s="40">
        <v>6</v>
      </c>
      <c r="I69" s="40">
        <v>-2</v>
      </c>
      <c r="J69" s="33" t="s">
        <v>81</v>
      </c>
      <c r="K69" s="24">
        <v>169.85250818353401</v>
      </c>
      <c r="L69" s="24">
        <v>29.0869555811637</v>
      </c>
      <c r="M69" s="24">
        <v>68.5678764531974</v>
      </c>
      <c r="N69" s="24">
        <v>27.1410977253061</v>
      </c>
      <c r="O69" s="24">
        <v>990976.5</v>
      </c>
      <c r="P69" s="55">
        <v>8.47362490802267E-3</v>
      </c>
      <c r="Q69" s="25">
        <f t="shared" si="10"/>
        <v>2.4771440646768577</v>
      </c>
      <c r="R69" s="25">
        <f t="shared" si="11"/>
        <v>0.17124831356469467</v>
      </c>
      <c r="S69" s="25">
        <f t="shared" si="12"/>
        <v>1.0045425152614682E-3</v>
      </c>
      <c r="T69" s="53">
        <f t="shared" si="13"/>
        <v>1</v>
      </c>
      <c r="U69" s="25">
        <f t="shared" si="14"/>
        <v>-2.0719307643120608</v>
      </c>
      <c r="V69" s="26">
        <f t="shared" si="15"/>
        <v>-6.9032230498050851</v>
      </c>
      <c r="W69" s="25">
        <f t="shared" si="16"/>
        <v>0</v>
      </c>
      <c r="X69" s="25">
        <f t="shared" si="17"/>
        <v>995.47802587500644</v>
      </c>
      <c r="Y69" s="25">
        <f t="shared" si="18"/>
        <v>561.63833284936243</v>
      </c>
      <c r="Z69" s="25">
        <f t="shared" si="19"/>
        <v>0.56163833284936249</v>
      </c>
    </row>
    <row r="70" spans="1:26" s="25" customFormat="1" ht="20.100000000000001" customHeight="1">
      <c r="A70" s="34" t="s">
        <v>28</v>
      </c>
      <c r="B70" s="31" t="s">
        <v>16</v>
      </c>
      <c r="C70" s="31" t="s">
        <v>56</v>
      </c>
      <c r="D70" s="31" t="s">
        <v>15</v>
      </c>
      <c r="E70" s="32">
        <v>2</v>
      </c>
      <c r="F70" s="42">
        <v>5</v>
      </c>
      <c r="G70" s="40">
        <v>7</v>
      </c>
      <c r="H70" s="40">
        <v>6</v>
      </c>
      <c r="I70" s="41"/>
      <c r="J70" s="31" t="s">
        <v>45</v>
      </c>
      <c r="K70" s="24">
        <v>195.564712114515</v>
      </c>
      <c r="L70" s="24">
        <v>28.680400518330501</v>
      </c>
      <c r="M70" s="24">
        <v>39.988659187411798</v>
      </c>
      <c r="N70" s="24">
        <v>23.116650323926098</v>
      </c>
      <c r="O70" s="24">
        <v>563862</v>
      </c>
      <c r="P70" s="55">
        <v>2.3788047749112001E-2</v>
      </c>
      <c r="Q70" s="25">
        <f t="shared" si="10"/>
        <v>4.8905043601981451</v>
      </c>
      <c r="R70" s="25">
        <f t="shared" si="11"/>
        <v>0.14665427217532162</v>
      </c>
      <c r="S70" s="25">
        <f t="shared" si="12"/>
        <v>1.3317220366362019E-3</v>
      </c>
      <c r="T70" s="53">
        <f t="shared" si="13"/>
        <v>1</v>
      </c>
      <c r="U70" s="25">
        <f t="shared" si="14"/>
        <v>-1.6236411984241876</v>
      </c>
      <c r="V70" s="26">
        <f t="shared" si="15"/>
        <v>-6.6212824098449445</v>
      </c>
      <c r="W70" s="25">
        <f t="shared" si="16"/>
        <v>0</v>
      </c>
      <c r="X70" s="25">
        <f t="shared" si="17"/>
        <v>750.90745102176209</v>
      </c>
      <c r="Y70" s="25">
        <f t="shared" si="18"/>
        <v>423.65416207487516</v>
      </c>
      <c r="Z70" s="25">
        <f t="shared" si="19"/>
        <v>0.42365416207487516</v>
      </c>
    </row>
    <row r="71" spans="1:26" s="25" customFormat="1" ht="20.100000000000001" customHeight="1">
      <c r="A71" s="34" t="s">
        <v>29</v>
      </c>
      <c r="B71" s="31" t="s">
        <v>16</v>
      </c>
      <c r="C71" s="31" t="s">
        <v>66</v>
      </c>
      <c r="D71" s="31" t="s">
        <v>22</v>
      </c>
      <c r="E71" s="32">
        <v>2</v>
      </c>
      <c r="F71" s="42">
        <v>3</v>
      </c>
      <c r="G71" s="40">
        <v>3</v>
      </c>
      <c r="H71" s="40">
        <v>6</v>
      </c>
      <c r="I71" s="40">
        <v>-4</v>
      </c>
      <c r="J71" s="31" t="s">
        <v>45</v>
      </c>
      <c r="K71" s="24">
        <v>105.674157296102</v>
      </c>
      <c r="L71" s="24">
        <v>26.0338019650167</v>
      </c>
      <c r="M71" s="24">
        <v>53.822441415556803</v>
      </c>
      <c r="N71" s="24">
        <v>17.830887300836601</v>
      </c>
      <c r="O71" s="24">
        <v>1711537</v>
      </c>
      <c r="P71" s="55">
        <v>8.3732758689633296E-3</v>
      </c>
      <c r="Q71" s="25">
        <f t="shared" si="10"/>
        <v>1.9633846870714045</v>
      </c>
      <c r="R71" s="25">
        <f t="shared" si="11"/>
        <v>0.24635921053119209</v>
      </c>
      <c r="S71" s="25">
        <f t="shared" si="12"/>
        <v>7.6437566801192559E-4</v>
      </c>
      <c r="T71" s="53">
        <f t="shared" si="13"/>
        <v>0.5</v>
      </c>
      <c r="U71" s="25">
        <f t="shared" si="14"/>
        <v>-2.0771046001335365</v>
      </c>
      <c r="V71" s="26">
        <f t="shared" si="15"/>
        <v>-7.1764511775910185</v>
      </c>
      <c r="W71" s="25">
        <f t="shared" si="16"/>
        <v>-0.69314718055994529</v>
      </c>
      <c r="X71" s="25">
        <f t="shared" si="17"/>
        <v>1308.2572377021272</v>
      </c>
      <c r="Y71" s="25">
        <f t="shared" si="18"/>
        <v>738.10510611250118</v>
      </c>
      <c r="Z71" s="25">
        <f t="shared" si="19"/>
        <v>0.73810510611250124</v>
      </c>
    </row>
    <row r="72" spans="1:26" s="25" customFormat="1" ht="20.100000000000001" customHeight="1">
      <c r="A72" s="34" t="s">
        <v>30</v>
      </c>
      <c r="B72" s="31" t="s">
        <v>15</v>
      </c>
      <c r="C72" s="31" t="s">
        <v>51</v>
      </c>
      <c r="D72" s="31" t="s">
        <v>15</v>
      </c>
      <c r="E72" s="32">
        <v>3</v>
      </c>
      <c r="F72" s="42">
        <v>3</v>
      </c>
      <c r="G72" s="40">
        <v>7</v>
      </c>
      <c r="H72" s="40">
        <v>6</v>
      </c>
      <c r="I72" s="41"/>
      <c r="J72" s="33" t="s">
        <v>81</v>
      </c>
      <c r="K72" s="24">
        <v>155.76526562116601</v>
      </c>
      <c r="L72" s="24">
        <v>28.4755385359875</v>
      </c>
      <c r="M72" s="24">
        <v>73.568576384290296</v>
      </c>
      <c r="N72" s="24">
        <v>26.9005399014824</v>
      </c>
      <c r="O72" s="24">
        <v>992568.5</v>
      </c>
      <c r="P72" s="55">
        <v>7.1992387128495703E-3</v>
      </c>
      <c r="Q72" s="25">
        <f t="shared" si="10"/>
        <v>2.117279866984457</v>
      </c>
      <c r="R72" s="25">
        <f t="shared" si="11"/>
        <v>0.18281057989681962</v>
      </c>
      <c r="S72" s="25">
        <f t="shared" si="12"/>
        <v>1.0037365892932308E-3</v>
      </c>
      <c r="T72" s="53">
        <f t="shared" si="13"/>
        <v>1</v>
      </c>
      <c r="U72" s="25">
        <f t="shared" si="14"/>
        <v>-2.1427134258310785</v>
      </c>
      <c r="V72" s="26">
        <f t="shared" si="15"/>
        <v>-6.904025653397059</v>
      </c>
      <c r="W72" s="25">
        <f t="shared" si="16"/>
        <v>0</v>
      </c>
      <c r="X72" s="25">
        <f t="shared" si="17"/>
        <v>996.27732082989826</v>
      </c>
      <c r="Y72" s="25">
        <f t="shared" si="18"/>
        <v>562.08928673709465</v>
      </c>
      <c r="Z72" s="25">
        <f t="shared" si="19"/>
        <v>0.56208928673709468</v>
      </c>
    </row>
    <row r="73" spans="1:26" s="25" customFormat="1" ht="20.100000000000001" customHeight="1">
      <c r="A73" s="34" t="s">
        <v>31</v>
      </c>
      <c r="B73" s="31" t="s">
        <v>15</v>
      </c>
      <c r="C73" s="31" t="s">
        <v>57</v>
      </c>
      <c r="D73" s="31" t="s">
        <v>13</v>
      </c>
      <c r="E73" s="32">
        <v>2</v>
      </c>
      <c r="F73" s="42">
        <v>3</v>
      </c>
      <c r="G73" s="40">
        <v>8</v>
      </c>
      <c r="H73" s="40">
        <v>6</v>
      </c>
      <c r="I73" s="41"/>
      <c r="J73" s="33" t="s">
        <v>81</v>
      </c>
      <c r="K73" s="24">
        <v>172.02080989615499</v>
      </c>
      <c r="L73" s="24">
        <v>40.029917316111799</v>
      </c>
      <c r="M73" s="24">
        <v>62.3638035219317</v>
      </c>
      <c r="N73" s="24">
        <v>24.767626665339399</v>
      </c>
      <c r="O73" s="24">
        <v>319661</v>
      </c>
      <c r="P73" s="55">
        <v>1.7585599835045498E-2</v>
      </c>
      <c r="Q73" s="25">
        <f t="shared" si="10"/>
        <v>2.7583437856810611</v>
      </c>
      <c r="R73" s="25">
        <f t="shared" si="11"/>
        <v>0.23270392309091523</v>
      </c>
      <c r="S73" s="25">
        <f t="shared" si="12"/>
        <v>1.7687040616521693E-3</v>
      </c>
      <c r="T73" s="53">
        <f t="shared" si="13"/>
        <v>0.33333333333333331</v>
      </c>
      <c r="U73" s="25">
        <f t="shared" si="14"/>
        <v>-1.7548428135507679</v>
      </c>
      <c r="V73" s="26">
        <f t="shared" si="15"/>
        <v>-6.337508169120798</v>
      </c>
      <c r="W73" s="25">
        <f t="shared" si="16"/>
        <v>-1.0986122886681098</v>
      </c>
      <c r="X73" s="25">
        <f t="shared" si="17"/>
        <v>565.38570905179415</v>
      </c>
      <c r="Y73" s="25">
        <f t="shared" si="18"/>
        <v>318.98472773378467</v>
      </c>
      <c r="Z73" s="25">
        <f t="shared" si="19"/>
        <v>0.31898472773378467</v>
      </c>
    </row>
    <row r="74" spans="1:26" s="25" customFormat="1" ht="32.1" customHeight="1">
      <c r="A74" s="34">
        <v>3641</v>
      </c>
      <c r="B74" s="31" t="s">
        <v>37</v>
      </c>
      <c r="C74" s="31" t="s">
        <v>49</v>
      </c>
      <c r="D74" s="31" t="s">
        <v>23</v>
      </c>
      <c r="E74" s="32">
        <v>3</v>
      </c>
      <c r="F74" s="42">
        <v>5</v>
      </c>
      <c r="G74" s="40">
        <v>6</v>
      </c>
      <c r="H74" s="40">
        <v>6</v>
      </c>
      <c r="I74" s="41"/>
      <c r="J74" s="31" t="s">
        <v>45</v>
      </c>
      <c r="K74" s="24">
        <v>146.68617059388299</v>
      </c>
      <c r="L74" s="24">
        <v>36.745387576687897</v>
      </c>
      <c r="M74" s="24">
        <v>46.2078454725931</v>
      </c>
      <c r="N74" s="24">
        <v>19.2589786569864</v>
      </c>
      <c r="O74" s="24">
        <v>269030.5</v>
      </c>
      <c r="P74" s="55">
        <v>1.8993994206541399E-2</v>
      </c>
      <c r="Q74" s="25">
        <f t="shared" si="10"/>
        <v>3.1744862607992794</v>
      </c>
      <c r="R74" s="25">
        <f t="shared" si="11"/>
        <v>0.25050342120131824</v>
      </c>
      <c r="S74" s="25">
        <f t="shared" si="12"/>
        <v>1.9279654221422628E-3</v>
      </c>
      <c r="T74" s="53">
        <f t="shared" si="13"/>
        <v>2</v>
      </c>
      <c r="U74" s="25">
        <f t="shared" si="14"/>
        <v>-1.7213836987986038</v>
      </c>
      <c r="V74" s="26">
        <f t="shared" si="15"/>
        <v>-6.2512900175281247</v>
      </c>
      <c r="W74" s="25">
        <f t="shared" si="16"/>
        <v>0.69314718055994529</v>
      </c>
      <c r="X74" s="25">
        <f t="shared" si="17"/>
        <v>518.68150150164411</v>
      </c>
      <c r="Y74" s="25">
        <f t="shared" si="18"/>
        <v>292.63470032613748</v>
      </c>
      <c r="Z74" s="25">
        <f t="shared" si="19"/>
        <v>0.29263470032613748</v>
      </c>
    </row>
    <row r="75" spans="1:26" s="25" customFormat="1" ht="32.1" customHeight="1">
      <c r="A75" s="34">
        <v>3461</v>
      </c>
      <c r="B75" s="31" t="s">
        <v>37</v>
      </c>
      <c r="C75" s="31" t="s">
        <v>50</v>
      </c>
      <c r="D75" s="31" t="s">
        <v>22</v>
      </c>
      <c r="E75" s="32">
        <v>2</v>
      </c>
      <c r="F75" s="42">
        <v>2.2999999999999998</v>
      </c>
      <c r="G75" s="40">
        <v>5</v>
      </c>
      <c r="H75" s="40">
        <v>6</v>
      </c>
      <c r="I75" s="40">
        <v>-4</v>
      </c>
      <c r="J75" s="33" t="s">
        <v>81</v>
      </c>
      <c r="K75" s="24">
        <v>175.136388671546</v>
      </c>
      <c r="L75" s="24">
        <v>26.813736977684599</v>
      </c>
      <c r="M75" s="24">
        <v>82.4663347081285</v>
      </c>
      <c r="N75" s="24">
        <v>24.2452573333346</v>
      </c>
      <c r="O75" s="24">
        <v>889814.5</v>
      </c>
      <c r="P75" s="55" t="s">
        <v>80</v>
      </c>
      <c r="Q75" s="25">
        <f t="shared" si="10"/>
        <v>2.123731936085226</v>
      </c>
      <c r="R75" s="25">
        <f t="shared" si="11"/>
        <v>0.15310203197104613</v>
      </c>
      <c r="S75" s="25">
        <f t="shared" si="12"/>
        <v>1.0601083633486439E-3</v>
      </c>
      <c r="T75" s="53">
        <f t="shared" si="13"/>
        <v>0.5</v>
      </c>
      <c r="U75" s="25" t="e">
        <f t="shared" si="14"/>
        <v>#VALUE!</v>
      </c>
      <c r="V75" s="26">
        <f t="shared" si="15"/>
        <v>-6.8493841465090561</v>
      </c>
      <c r="W75" s="25">
        <f t="shared" si="16"/>
        <v>-0.69314718055994529</v>
      </c>
      <c r="X75" s="25">
        <f t="shared" si="17"/>
        <v>943.2997932788918</v>
      </c>
      <c r="Y75" s="25">
        <f t="shared" si="18"/>
        <v>532.19991753070258</v>
      </c>
      <c r="Z75" s="25">
        <f t="shared" si="19"/>
        <v>0.53219991753070262</v>
      </c>
    </row>
    <row r="76" spans="1:26" s="25" customFormat="1" ht="20.100000000000001" customHeight="1">
      <c r="A76" s="34">
        <v>3464</v>
      </c>
      <c r="B76" s="31" t="s">
        <v>22</v>
      </c>
      <c r="C76" s="31" t="s">
        <v>59</v>
      </c>
      <c r="D76" s="31" t="s">
        <v>22</v>
      </c>
      <c r="E76" s="32">
        <v>2</v>
      </c>
      <c r="F76" s="42">
        <v>5</v>
      </c>
      <c r="G76" s="40">
        <v>7</v>
      </c>
      <c r="H76" s="40">
        <v>6</v>
      </c>
      <c r="I76" s="40">
        <v>-1</v>
      </c>
      <c r="J76" s="33" t="s">
        <v>81</v>
      </c>
      <c r="K76" s="24">
        <v>193.84657407425999</v>
      </c>
      <c r="L76" s="24">
        <v>33.672235982381203</v>
      </c>
      <c r="M76" s="24">
        <v>62.397823674936703</v>
      </c>
      <c r="N76" s="24">
        <v>28.019998489915899</v>
      </c>
      <c r="O76" s="24">
        <v>392512</v>
      </c>
      <c r="P76" s="55">
        <v>1.5993970289208102E-2</v>
      </c>
      <c r="Q76" s="25">
        <f t="shared" si="10"/>
        <v>3.106623959901381</v>
      </c>
      <c r="R76" s="25">
        <f t="shared" si="11"/>
        <v>0.17370560270764354</v>
      </c>
      <c r="S76" s="25">
        <f t="shared" si="12"/>
        <v>1.5961493693861532E-3</v>
      </c>
      <c r="T76" s="53">
        <f t="shared" si="13"/>
        <v>0.5</v>
      </c>
      <c r="U76" s="25">
        <f t="shared" si="14"/>
        <v>-1.7960437150740991</v>
      </c>
      <c r="V76" s="26">
        <f t="shared" si="15"/>
        <v>-6.4401611944928279</v>
      </c>
      <c r="W76" s="25">
        <f t="shared" si="16"/>
        <v>-0.69314718055994529</v>
      </c>
      <c r="X76" s="25">
        <f t="shared" si="17"/>
        <v>626.50778127649778</v>
      </c>
      <c r="Y76" s="25">
        <f t="shared" si="18"/>
        <v>353.46916420781605</v>
      </c>
      <c r="Z76" s="25">
        <f t="shared" si="19"/>
        <v>0.35346916420781604</v>
      </c>
    </row>
    <row r="77" spans="1:26" s="25" customFormat="1" ht="20.100000000000001" customHeight="1">
      <c r="A77" s="34">
        <v>3214</v>
      </c>
      <c r="B77" s="31" t="s">
        <v>18</v>
      </c>
      <c r="C77" s="31" t="s">
        <v>63</v>
      </c>
      <c r="D77" s="31" t="s">
        <v>13</v>
      </c>
      <c r="E77" s="32">
        <v>2</v>
      </c>
      <c r="F77" s="42">
        <v>5</v>
      </c>
      <c r="G77" s="40">
        <v>9</v>
      </c>
      <c r="H77" s="40">
        <v>7</v>
      </c>
      <c r="I77" s="41"/>
      <c r="J77" s="33" t="s">
        <v>81</v>
      </c>
      <c r="K77" s="24">
        <v>123.213053313427</v>
      </c>
      <c r="L77" s="24">
        <v>22.3738561725457</v>
      </c>
      <c r="M77" s="24">
        <v>68.038067032212794</v>
      </c>
      <c r="N77" s="24">
        <v>21.230607973874999</v>
      </c>
      <c r="O77" s="24">
        <v>2405154</v>
      </c>
      <c r="P77" s="55" t="s">
        <v>80</v>
      </c>
      <c r="Q77" s="25">
        <f t="shared" si="10"/>
        <v>1.8109428837108419</v>
      </c>
      <c r="R77" s="25">
        <f t="shared" si="11"/>
        <v>0.18158673590882871</v>
      </c>
      <c r="S77" s="25">
        <f t="shared" si="12"/>
        <v>6.4480523605766867E-4</v>
      </c>
      <c r="T77" s="53">
        <f t="shared" si="13"/>
        <v>0.33333333333333331</v>
      </c>
      <c r="U77" s="25" t="e">
        <f t="shared" si="14"/>
        <v>#VALUE!</v>
      </c>
      <c r="V77" s="26">
        <f t="shared" si="15"/>
        <v>-7.3465622463679949</v>
      </c>
      <c r="W77" s="25">
        <f t="shared" si="16"/>
        <v>-1.0986122886681098</v>
      </c>
      <c r="X77" s="25">
        <f t="shared" si="17"/>
        <v>1550.8558927250463</v>
      </c>
      <c r="Y77" s="25">
        <f t="shared" si="18"/>
        <v>874.97674025912761</v>
      </c>
      <c r="Z77" s="25">
        <f t="shared" si="19"/>
        <v>0.87497674025912764</v>
      </c>
    </row>
    <row r="78" spans="1:26" s="25" customFormat="1" ht="32.1" customHeight="1">
      <c r="A78" s="34">
        <v>3330</v>
      </c>
      <c r="B78" s="31" t="s">
        <v>22</v>
      </c>
      <c r="C78" s="31" t="s">
        <v>58</v>
      </c>
      <c r="D78" s="31" t="s">
        <v>22</v>
      </c>
      <c r="E78" s="32">
        <v>2</v>
      </c>
      <c r="F78" s="42">
        <v>3</v>
      </c>
      <c r="G78" s="40">
        <v>3</v>
      </c>
      <c r="H78" s="40">
        <v>6</v>
      </c>
      <c r="I78" s="40">
        <v>-3</v>
      </c>
      <c r="J78" s="33" t="s">
        <v>81</v>
      </c>
      <c r="K78" s="24">
        <v>158.404650273523</v>
      </c>
      <c r="L78" s="24">
        <v>29.4001837270594</v>
      </c>
      <c r="M78" s="24">
        <v>62.818723058247699</v>
      </c>
      <c r="N78" s="24">
        <v>25.2515396533793</v>
      </c>
      <c r="O78" s="24">
        <v>1233430</v>
      </c>
      <c r="P78" s="55">
        <v>7.9699964825573795E-3</v>
      </c>
      <c r="Q78" s="25">
        <f t="shared" si="10"/>
        <v>2.5216152535708933</v>
      </c>
      <c r="R78" s="25">
        <f t="shared" si="11"/>
        <v>0.18560177164176081</v>
      </c>
      <c r="S78" s="25">
        <f t="shared" si="12"/>
        <v>9.0041505193707541E-4</v>
      </c>
      <c r="T78" s="53">
        <f t="shared" si="13"/>
        <v>0.5</v>
      </c>
      <c r="U78" s="25">
        <f t="shared" si="14"/>
        <v>-2.0985418702734306</v>
      </c>
      <c r="V78" s="26">
        <f t="shared" si="15"/>
        <v>-7.0126547321266486</v>
      </c>
      <c r="W78" s="25">
        <f t="shared" si="16"/>
        <v>-0.69314718055994529</v>
      </c>
      <c r="X78" s="25">
        <f t="shared" si="17"/>
        <v>1110.598937510747</v>
      </c>
      <c r="Y78" s="25">
        <f t="shared" si="18"/>
        <v>626.58835204276897</v>
      </c>
      <c r="Z78" s="25">
        <f t="shared" si="19"/>
        <v>0.62658835204276897</v>
      </c>
    </row>
    <row r="79" spans="1:26" s="25" customFormat="1" ht="32.1" customHeight="1">
      <c r="A79" s="34">
        <v>3381</v>
      </c>
      <c r="B79" s="31" t="s">
        <v>13</v>
      </c>
      <c r="C79" s="31" t="s">
        <v>47</v>
      </c>
      <c r="D79" s="31" t="s">
        <v>22</v>
      </c>
      <c r="E79" s="32">
        <v>7</v>
      </c>
      <c r="F79" s="42">
        <v>5</v>
      </c>
      <c r="G79" s="40">
        <v>10</v>
      </c>
      <c r="H79" s="40">
        <v>8</v>
      </c>
      <c r="I79" s="41"/>
      <c r="J79" s="33" t="s">
        <v>81</v>
      </c>
      <c r="K79" s="24">
        <v>222.02594856119899</v>
      </c>
      <c r="L79" s="24">
        <v>22.187072355150601</v>
      </c>
      <c r="M79" s="24">
        <v>51.462951232927701</v>
      </c>
      <c r="N79" s="24">
        <v>20.803853822103001</v>
      </c>
      <c r="O79" s="24">
        <v>1037077.5</v>
      </c>
      <c r="P79" s="55">
        <v>1.4634703574755501E-2</v>
      </c>
      <c r="Q79" s="25">
        <f t="shared" si="10"/>
        <v>4.3142871374842455</v>
      </c>
      <c r="R79" s="25">
        <f t="shared" si="11"/>
        <v>9.9930086996272788E-2</v>
      </c>
      <c r="S79" s="25">
        <f t="shared" si="12"/>
        <v>9.8196134923500631E-4</v>
      </c>
      <c r="T79" s="53">
        <f t="shared" si="13"/>
        <v>0.5</v>
      </c>
      <c r="U79" s="25">
        <f t="shared" si="14"/>
        <v>-1.834616069755761</v>
      </c>
      <c r="V79" s="26">
        <f t="shared" si="15"/>
        <v>-6.9259586096155576</v>
      </c>
      <c r="W79" s="25">
        <f t="shared" si="16"/>
        <v>-0.69314718055994529</v>
      </c>
      <c r="X79" s="25">
        <f t="shared" si="17"/>
        <v>1018.3700211612673</v>
      </c>
      <c r="Y79" s="25">
        <f t="shared" si="18"/>
        <v>574.55375813649516</v>
      </c>
      <c r="Z79" s="25">
        <f t="shared" si="19"/>
        <v>0.57455375813649512</v>
      </c>
    </row>
    <row r="80" spans="1:26" s="25" customFormat="1" ht="20.100000000000001" customHeight="1">
      <c r="A80" s="34">
        <v>3382</v>
      </c>
      <c r="B80" s="31" t="s">
        <v>41</v>
      </c>
      <c r="C80" s="31" t="s">
        <v>65</v>
      </c>
      <c r="D80" s="31" t="s">
        <v>15</v>
      </c>
      <c r="E80" s="32">
        <v>2</v>
      </c>
      <c r="F80" s="42">
        <v>3</v>
      </c>
      <c r="G80" s="40">
        <v>3</v>
      </c>
      <c r="H80" s="40">
        <v>1</v>
      </c>
      <c r="I80" s="41"/>
      <c r="J80" s="31" t="s">
        <v>45</v>
      </c>
      <c r="K80" s="24">
        <v>126.202191692131</v>
      </c>
      <c r="L80" s="24">
        <v>20.877250669134199</v>
      </c>
      <c r="M80" s="24">
        <v>66.844626821197295</v>
      </c>
      <c r="N80" s="24">
        <v>23.449381705903701</v>
      </c>
      <c r="O80" s="24">
        <v>1201075.5</v>
      </c>
      <c r="P80" s="55" t="s">
        <v>80</v>
      </c>
      <c r="Q80" s="25">
        <f t="shared" si="10"/>
        <v>1.8879930623251029</v>
      </c>
      <c r="R80" s="25">
        <f t="shared" si="11"/>
        <v>0.16542700557898429</v>
      </c>
      <c r="S80" s="25">
        <f t="shared" si="12"/>
        <v>9.1246212366358052E-4</v>
      </c>
      <c r="T80" s="53">
        <f t="shared" si="13"/>
        <v>1</v>
      </c>
      <c r="U80" s="25" t="e">
        <f t="shared" si="14"/>
        <v>#VALUE!</v>
      </c>
      <c r="V80" s="26">
        <f t="shared" si="15"/>
        <v>-6.9993639816830058</v>
      </c>
      <c r="W80" s="25">
        <f t="shared" si="16"/>
        <v>0</v>
      </c>
      <c r="X80" s="25">
        <f t="shared" si="17"/>
        <v>1095.935901410297</v>
      </c>
      <c r="Y80" s="25">
        <f t="shared" si="18"/>
        <v>618.31561981171035</v>
      </c>
      <c r="Z80" s="25">
        <f t="shared" si="19"/>
        <v>0.61831561981171035</v>
      </c>
    </row>
    <row r="81" spans="1:26" s="25" customFormat="1" ht="33.75" customHeight="1">
      <c r="A81" s="34">
        <v>3140</v>
      </c>
      <c r="B81" s="31" t="s">
        <v>15</v>
      </c>
      <c r="C81" s="31" t="s">
        <v>58</v>
      </c>
      <c r="D81" s="31" t="s">
        <v>15</v>
      </c>
      <c r="E81" s="32">
        <v>2</v>
      </c>
      <c r="F81" s="42">
        <v>5</v>
      </c>
      <c r="G81" s="40">
        <v>7</v>
      </c>
      <c r="H81" s="40">
        <v>7</v>
      </c>
      <c r="I81" s="41"/>
      <c r="J81" s="33" t="s">
        <v>81</v>
      </c>
      <c r="K81" s="24">
        <v>181.81915480496201</v>
      </c>
      <c r="L81" s="24">
        <v>30.527071845230601</v>
      </c>
      <c r="M81" s="24">
        <v>59.994186162094998</v>
      </c>
      <c r="N81" s="24">
        <v>20.791086896863501</v>
      </c>
      <c r="O81" s="24">
        <v>227823.5</v>
      </c>
      <c r="P81" s="55">
        <v>3.2991973641733903E-2</v>
      </c>
      <c r="Q81" s="25">
        <f t="shared" si="10"/>
        <v>3.0306129049524033</v>
      </c>
      <c r="R81" s="25">
        <f t="shared" si="11"/>
        <v>0.16789799665484689</v>
      </c>
      <c r="S81" s="25">
        <f t="shared" si="12"/>
        <v>2.0950806233046267E-3</v>
      </c>
      <c r="T81" s="53">
        <f t="shared" si="13"/>
        <v>1</v>
      </c>
      <c r="U81" s="25">
        <f t="shared" si="14"/>
        <v>-1.4815917033671793</v>
      </c>
      <c r="V81" s="26">
        <f t="shared" si="15"/>
        <v>-6.1681632426708877</v>
      </c>
      <c r="W81" s="25">
        <f t="shared" si="16"/>
        <v>0</v>
      </c>
      <c r="X81" s="25">
        <f t="shared" si="17"/>
        <v>477.30860038344167</v>
      </c>
      <c r="Y81" s="25">
        <f t="shared" si="18"/>
        <v>269.29254047409637</v>
      </c>
      <c r="Z81" s="25">
        <f t="shared" si="19"/>
        <v>0.2692925404740964</v>
      </c>
    </row>
    <row r="82" spans="1:26" s="25" customFormat="1" ht="36.75" customHeight="1">
      <c r="A82" s="34">
        <v>3385</v>
      </c>
      <c r="B82" s="50" t="s">
        <v>39</v>
      </c>
      <c r="C82" s="31" t="s">
        <v>51</v>
      </c>
      <c r="D82" s="31" t="s">
        <v>13</v>
      </c>
      <c r="E82" s="32">
        <v>3</v>
      </c>
      <c r="F82" s="42">
        <v>4</v>
      </c>
      <c r="G82" s="40">
        <v>5</v>
      </c>
      <c r="H82" s="40">
        <v>6</v>
      </c>
      <c r="I82" s="40">
        <v>-2</v>
      </c>
      <c r="J82" s="35" t="s">
        <v>71</v>
      </c>
      <c r="K82" s="24">
        <v>162.53580622774899</v>
      </c>
      <c r="L82" s="24">
        <v>30.316260661704501</v>
      </c>
      <c r="M82" s="24">
        <v>68.567704119995994</v>
      </c>
      <c r="N82" s="24">
        <v>25.277292116469699</v>
      </c>
      <c r="O82" s="24">
        <v>1284193.5</v>
      </c>
      <c r="P82" s="55">
        <v>6.2435820408043297E-3</v>
      </c>
      <c r="Q82" s="25">
        <f t="shared" si="10"/>
        <v>2.3704425912132829</v>
      </c>
      <c r="R82" s="25">
        <f t="shared" si="11"/>
        <v>0.18652050502167286</v>
      </c>
      <c r="S82" s="25">
        <f t="shared" si="12"/>
        <v>8.8243914732557454E-4</v>
      </c>
      <c r="T82" s="53">
        <f t="shared" si="13"/>
        <v>0.33333333333333331</v>
      </c>
      <c r="U82" s="25">
        <f t="shared" si="14"/>
        <v>-2.2045661772700607</v>
      </c>
      <c r="V82" s="26">
        <f t="shared" si="15"/>
        <v>-7.0328207264061886</v>
      </c>
      <c r="W82" s="25">
        <f t="shared" si="16"/>
        <v>-1.0986122886681098</v>
      </c>
      <c r="X82" s="25">
        <f t="shared" si="17"/>
        <v>1133.2226171410452</v>
      </c>
      <c r="Y82" s="25">
        <f t="shared" si="18"/>
        <v>639.35239643170485</v>
      </c>
      <c r="Z82" s="25">
        <f t="shared" si="19"/>
        <v>0.63935239643170483</v>
      </c>
    </row>
    <row r="83" spans="1:26" ht="25.15" customHeight="1">
      <c r="A83" s="45">
        <v>3637</v>
      </c>
      <c r="B83" s="51">
        <v>3</v>
      </c>
      <c r="C83" s="49" t="s">
        <v>57</v>
      </c>
      <c r="D83" s="46" t="s">
        <v>19</v>
      </c>
      <c r="E83" s="47">
        <v>2</v>
      </c>
      <c r="F83" s="47">
        <v>2.5</v>
      </c>
      <c r="G83" s="47">
        <v>4</v>
      </c>
      <c r="H83" s="47">
        <v>6</v>
      </c>
      <c r="I83" s="47">
        <v>-3</v>
      </c>
      <c r="J83" s="35" t="s">
        <v>71</v>
      </c>
      <c r="K83" s="24">
        <v>206.511526427072</v>
      </c>
      <c r="L83" s="24">
        <v>23.616862311490099</v>
      </c>
      <c r="M83" s="24">
        <v>95.156839915139102</v>
      </c>
      <c r="N83" s="24">
        <v>24.996527036237701</v>
      </c>
      <c r="O83" s="24">
        <v>458178</v>
      </c>
      <c r="P83" s="55">
        <v>1.1000683310436901E-2</v>
      </c>
      <c r="Q83" s="25">
        <f t="shared" si="10"/>
        <v>2.1702226199529013</v>
      </c>
      <c r="R83" s="25">
        <f t="shared" si="11"/>
        <v>0.11436098856123761</v>
      </c>
      <c r="S83" s="25">
        <f t="shared" si="12"/>
        <v>1.4773482563437562E-3</v>
      </c>
      <c r="T83" s="53">
        <f t="shared" si="13"/>
        <v>0.2857142857142857</v>
      </c>
      <c r="U83" s="25">
        <f t="shared" si="14"/>
        <v>-1.958580337684013</v>
      </c>
      <c r="V83" s="26">
        <f t="shared" si="15"/>
        <v>-6.5175065169405624</v>
      </c>
      <c r="W83" s="25">
        <f t="shared" si="16"/>
        <v>-1.2527629684953681</v>
      </c>
      <c r="X83" s="25">
        <f t="shared" si="17"/>
        <v>676.88846939506959</v>
      </c>
      <c r="Y83" s="25">
        <f t="shared" si="18"/>
        <v>381.89342365628249</v>
      </c>
      <c r="Z83" s="25">
        <f t="shared" si="19"/>
        <v>0.38189342365628248</v>
      </c>
    </row>
    <row r="84" spans="1:26" ht="20.100000000000001" customHeight="1">
      <c r="A84" s="45">
        <v>3477</v>
      </c>
      <c r="B84" s="51">
        <v>5</v>
      </c>
      <c r="C84" s="49" t="s">
        <v>56</v>
      </c>
      <c r="D84" s="46" t="s">
        <v>22</v>
      </c>
      <c r="E84" s="47">
        <v>2</v>
      </c>
      <c r="F84" s="47">
        <v>2</v>
      </c>
      <c r="G84" s="47">
        <v>7</v>
      </c>
      <c r="H84" s="47">
        <v>6</v>
      </c>
      <c r="I84" s="47">
        <v>-1</v>
      </c>
      <c r="J84" s="33" t="s">
        <v>81</v>
      </c>
      <c r="K84" s="24">
        <v>140.55577717095301</v>
      </c>
      <c r="L84" s="24">
        <v>34.123772035538501</v>
      </c>
      <c r="M84" s="24">
        <v>67.810916857817404</v>
      </c>
      <c r="N84" s="24">
        <v>19.434457750400998</v>
      </c>
      <c r="O84" s="24">
        <v>809500</v>
      </c>
      <c r="P84" s="55">
        <v>1.0355213630157701E-2</v>
      </c>
      <c r="Q84" s="25">
        <f t="shared" si="10"/>
        <v>2.072760311819164</v>
      </c>
      <c r="R84" s="25">
        <f t="shared" si="11"/>
        <v>0.24277744196906945</v>
      </c>
      <c r="S84" s="25">
        <f t="shared" si="12"/>
        <v>1.111454205487394E-3</v>
      </c>
      <c r="T84" s="53">
        <f t="shared" si="13"/>
        <v>0.5</v>
      </c>
      <c r="U84" s="25">
        <f t="shared" si="14"/>
        <v>-1.9848409370948519</v>
      </c>
      <c r="V84" s="26">
        <f t="shared" si="15"/>
        <v>-6.8020860260499134</v>
      </c>
      <c r="W84" s="25">
        <f t="shared" si="16"/>
        <v>-0.69314718055994529</v>
      </c>
      <c r="X84" s="25">
        <f t="shared" si="17"/>
        <v>899.72217934204559</v>
      </c>
      <c r="Y84" s="25">
        <f t="shared" si="18"/>
        <v>507.61388167166837</v>
      </c>
      <c r="Z84" s="25">
        <f t="shared" si="19"/>
        <v>0.50761388167166843</v>
      </c>
    </row>
    <row r="85" spans="1:26" ht="20.100000000000001" customHeight="1">
      <c r="A85" s="45">
        <v>3561</v>
      </c>
      <c r="B85" s="51">
        <v>8</v>
      </c>
      <c r="C85" s="49" t="s">
        <v>52</v>
      </c>
      <c r="D85" s="46" t="s">
        <v>13</v>
      </c>
      <c r="E85" s="47">
        <v>2</v>
      </c>
      <c r="F85" s="47">
        <v>2.5</v>
      </c>
      <c r="G85" s="47">
        <v>9</v>
      </c>
      <c r="H85" s="47">
        <v>6</v>
      </c>
      <c r="I85" s="47">
        <v>-1</v>
      </c>
      <c r="J85" s="31" t="s">
        <v>45</v>
      </c>
      <c r="K85" s="24">
        <v>180.66160235841701</v>
      </c>
      <c r="L85" s="24">
        <v>35.257384613129901</v>
      </c>
      <c r="M85" s="24">
        <v>60.367732697502099</v>
      </c>
      <c r="N85" s="24">
        <v>31.655716339509599</v>
      </c>
      <c r="O85" s="24">
        <v>951918.5</v>
      </c>
      <c r="P85" s="55">
        <v>8.3899597315295806E-3</v>
      </c>
      <c r="Q85" s="25">
        <f t="shared" si="10"/>
        <v>2.992684904428959</v>
      </c>
      <c r="R85" s="25">
        <f t="shared" si="11"/>
        <v>0.19515704584077748</v>
      </c>
      <c r="S85" s="25">
        <f t="shared" si="12"/>
        <v>1.0249439503907068E-3</v>
      </c>
      <c r="T85" s="53">
        <f t="shared" si="13"/>
        <v>0.33333333333333331</v>
      </c>
      <c r="U85" s="25">
        <f t="shared" si="14"/>
        <v>-2.076240123607112</v>
      </c>
      <c r="V85" s="26">
        <f t="shared" si="15"/>
        <v>-6.8831173504325625</v>
      </c>
      <c r="W85" s="25">
        <f t="shared" si="16"/>
        <v>-1.0986122886681098</v>
      </c>
      <c r="X85" s="25">
        <f t="shared" si="17"/>
        <v>975.6631078399962</v>
      </c>
      <c r="Y85" s="25">
        <f t="shared" si="18"/>
        <v>550.45896249515704</v>
      </c>
      <c r="Z85" s="25">
        <f t="shared" si="19"/>
        <v>0.55045896249515702</v>
      </c>
    </row>
    <row r="86" spans="1:26" ht="20.100000000000001" customHeight="1">
      <c r="A86" s="36"/>
      <c r="B86" s="48"/>
      <c r="C86" s="37"/>
      <c r="D86" s="37"/>
      <c r="E86" s="37"/>
      <c r="F86" s="37"/>
      <c r="G86" s="37"/>
      <c r="H86" s="37"/>
      <c r="I86" s="37"/>
      <c r="J86" s="37"/>
    </row>
    <row r="87" spans="1:26" ht="20.100000000000001" customHeight="1">
      <c r="A87" s="36"/>
      <c r="B87" s="37"/>
      <c r="C87" s="37"/>
      <c r="D87" s="37"/>
      <c r="E87" s="37"/>
      <c r="F87" s="37"/>
      <c r="G87" s="37"/>
      <c r="H87" s="37"/>
      <c r="I87" s="37"/>
      <c r="J87" s="37"/>
    </row>
    <row r="88" spans="1:26" ht="20.100000000000001" customHeight="1">
      <c r="A88" s="36"/>
      <c r="B88" s="37"/>
      <c r="C88" s="37"/>
      <c r="D88" s="37"/>
      <c r="E88" s="37"/>
      <c r="F88" s="37"/>
      <c r="G88" s="37"/>
      <c r="H88" s="37"/>
      <c r="I88" s="37"/>
      <c r="J88" s="37"/>
    </row>
    <row r="89" spans="1:26" ht="20.100000000000001" customHeight="1">
      <c r="A89" s="36"/>
      <c r="B89" s="37"/>
      <c r="C89" s="37"/>
      <c r="D89" s="37"/>
      <c r="E89" s="37"/>
      <c r="F89" s="37"/>
      <c r="G89" s="37"/>
      <c r="H89" s="37"/>
      <c r="I89" s="37"/>
      <c r="J89" s="37"/>
    </row>
    <row r="90" spans="1:26" ht="20.100000000000001" customHeight="1">
      <c r="A90" s="36"/>
      <c r="B90" s="37"/>
      <c r="C90" s="37"/>
      <c r="D90" s="37"/>
      <c r="E90" s="37"/>
      <c r="F90" s="37"/>
      <c r="G90" s="37"/>
      <c r="H90" s="37"/>
      <c r="I90" s="37"/>
      <c r="J90" s="37"/>
    </row>
    <row r="91" spans="1:26" ht="20.100000000000001" customHeight="1">
      <c r="A91" s="36"/>
      <c r="B91" s="37"/>
      <c r="C91" s="37"/>
      <c r="D91" s="37"/>
      <c r="E91" s="37"/>
      <c r="F91" s="37"/>
      <c r="G91" s="37"/>
      <c r="H91" s="37"/>
      <c r="I91" s="37"/>
      <c r="J91" s="37"/>
    </row>
    <row r="92" spans="1:26" ht="20.100000000000001" customHeight="1">
      <c r="A92" s="36"/>
      <c r="B92" s="37"/>
      <c r="C92" s="37"/>
      <c r="D92" s="37"/>
      <c r="E92" s="37"/>
      <c r="F92" s="37"/>
      <c r="G92" s="37"/>
      <c r="H92" s="37"/>
      <c r="I92" s="37"/>
      <c r="J92" s="37"/>
    </row>
    <row r="93" spans="1:26" ht="20.100000000000001" customHeight="1">
      <c r="A93" s="36"/>
      <c r="B93" s="37"/>
      <c r="C93" s="37"/>
      <c r="D93" s="37"/>
      <c r="E93" s="37"/>
      <c r="F93" s="37"/>
      <c r="G93" s="37"/>
      <c r="H93" s="37"/>
      <c r="I93" s="37"/>
      <c r="J93" s="37"/>
    </row>
    <row r="94" spans="1:26" ht="20.100000000000001" customHeight="1">
      <c r="A94" s="36"/>
      <c r="B94" s="37"/>
      <c r="C94" s="37"/>
      <c r="D94" s="37"/>
      <c r="E94" s="37"/>
      <c r="F94" s="37"/>
      <c r="G94" s="37"/>
      <c r="H94" s="37"/>
      <c r="I94" s="37"/>
      <c r="J94" s="37"/>
    </row>
    <row r="95" spans="1:26" ht="20.100000000000001" customHeight="1">
      <c r="A95" s="36"/>
      <c r="B95" s="37"/>
      <c r="C95" s="37"/>
      <c r="D95" s="37"/>
      <c r="E95" s="37"/>
      <c r="F95" s="37"/>
      <c r="G95" s="37"/>
      <c r="H95" s="37"/>
      <c r="I95" s="37"/>
      <c r="J95" s="37"/>
    </row>
    <row r="96" spans="1:26" ht="20.100000000000001" customHeight="1">
      <c r="A96" s="36"/>
      <c r="B96" s="37"/>
      <c r="C96" s="37"/>
      <c r="D96" s="37"/>
      <c r="E96" s="37"/>
      <c r="F96" s="37"/>
      <c r="G96" s="37"/>
      <c r="H96" s="37"/>
      <c r="I96" s="37"/>
      <c r="J96" s="37"/>
    </row>
    <row r="97" spans="1:10" ht="20.100000000000001" customHeight="1">
      <c r="A97" s="36"/>
      <c r="B97" s="37"/>
      <c r="C97" s="37"/>
      <c r="D97" s="37"/>
      <c r="E97" s="37"/>
      <c r="F97" s="37"/>
      <c r="G97" s="37"/>
      <c r="H97" s="37"/>
      <c r="I97" s="37"/>
      <c r="J97" s="37"/>
    </row>
    <row r="98" spans="1:10" ht="20.100000000000001" customHeight="1">
      <c r="A98" s="36"/>
      <c r="B98" s="37"/>
      <c r="C98" s="37"/>
      <c r="D98" s="37"/>
      <c r="E98" s="37"/>
      <c r="F98" s="37"/>
      <c r="G98" s="37"/>
      <c r="H98" s="37"/>
      <c r="I98" s="37"/>
      <c r="J98" s="37"/>
    </row>
    <row r="99" spans="1:10" ht="20.100000000000001" customHeight="1">
      <c r="A99" s="36"/>
      <c r="B99" s="37"/>
      <c r="C99" s="37"/>
      <c r="D99" s="37"/>
      <c r="E99" s="37"/>
      <c r="F99" s="37"/>
      <c r="G99" s="37"/>
      <c r="H99" s="37"/>
      <c r="I99" s="37"/>
      <c r="J99" s="37"/>
    </row>
    <row r="100" spans="1:10" ht="20.100000000000001" customHeight="1">
      <c r="A100" s="36"/>
      <c r="B100" s="37"/>
      <c r="C100" s="37"/>
      <c r="D100" s="37"/>
      <c r="E100" s="37"/>
      <c r="F100" s="37"/>
      <c r="G100" s="37"/>
      <c r="H100" s="37"/>
      <c r="I100" s="37"/>
      <c r="J100" s="37"/>
    </row>
    <row r="101" spans="1:10" ht="20.100000000000001" customHeight="1">
      <c r="A101" s="36"/>
      <c r="B101" s="37"/>
      <c r="C101" s="37"/>
      <c r="D101" s="37"/>
      <c r="E101" s="37"/>
      <c r="F101" s="37"/>
      <c r="G101" s="37"/>
      <c r="H101" s="37"/>
      <c r="I101" s="37"/>
      <c r="J101" s="37"/>
    </row>
  </sheetData>
  <mergeCells count="1">
    <mergeCell ref="A1:J1"/>
  </mergeCells>
  <pageMargins left="0.5" right="0.5" top="0.75" bottom="0.75" header="0.27777800000000002" footer="0.27777800000000002"/>
  <pageSetup scale="72" orientation="portrait"/>
  <headerFooter>
    <oddFooter>&amp;C&amp;"Helvetica Neue,Regular"&amp;12&amp;K000000&amp;P</oddFooter>
  </headerFooter>
  <drawing r:id="rId1"/>
  <legacyDrawing r:id="rId2"/>
  <controls>
    <mc:AlternateContent xmlns:mc="http://schemas.openxmlformats.org/markup-compatibility/2006">
      <mc:Choice Requires="x14">
        <control shapeId="1025" r:id="rId3" name="Control 1">
          <controlPr defaultSize="0" r:id="rId4">
            <anchor moveWithCells="1">
              <from>
                <xdr:col>11</xdr:col>
                <xdr:colOff>538163</xdr:colOff>
                <xdr:row>31</xdr:row>
                <xdr:rowOff>76200</xdr:rowOff>
              </from>
              <to>
                <xdr:col>11</xdr:col>
                <xdr:colOff>838200</xdr:colOff>
                <xdr:row>32</xdr:row>
                <xdr:rowOff>80963</xdr:rowOff>
              </to>
            </anchor>
          </controlPr>
        </control>
      </mc:Choice>
      <mc:Fallback>
        <control shapeId="1025" r:id="rId3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18"/>
  <sheetViews>
    <sheetView showGridLines="0" workbookViewId="0">
      <pane xSplit="2" ySplit="1" topLeftCell="C89" activePane="bottomRight" state="frozen"/>
      <selection pane="topRight"/>
      <selection pane="bottomLeft"/>
      <selection pane="bottomRight" activeCell="I102" sqref="I102"/>
    </sheetView>
  </sheetViews>
  <sheetFormatPr defaultColWidth="16.265625" defaultRowHeight="19.899999999999999" customHeight="1"/>
  <cols>
    <col min="1" max="14" width="16.265625" style="1" customWidth="1"/>
    <col min="15" max="16384" width="16.265625" style="1"/>
  </cols>
  <sheetData>
    <row r="1" spans="1:13" ht="32.25" customHeight="1">
      <c r="A1" s="9"/>
      <c r="B1" s="10" t="s">
        <v>1</v>
      </c>
      <c r="C1" s="11" t="s">
        <v>2</v>
      </c>
      <c r="D1" s="12" t="s">
        <v>6</v>
      </c>
      <c r="E1" s="12" t="s">
        <v>3</v>
      </c>
      <c r="F1" s="13" t="s">
        <v>4</v>
      </c>
      <c r="G1" s="13" t="s">
        <v>5</v>
      </c>
      <c r="H1" s="13" t="s">
        <v>7</v>
      </c>
      <c r="I1" s="2" t="s">
        <v>8</v>
      </c>
      <c r="J1" s="14" t="s">
        <v>1</v>
      </c>
      <c r="K1" s="14" t="s">
        <v>2</v>
      </c>
      <c r="L1" s="14" t="s">
        <v>8</v>
      </c>
      <c r="M1" s="14" t="s">
        <v>6</v>
      </c>
    </row>
    <row r="2" spans="1:13" ht="20.25" customHeight="1">
      <c r="A2" s="15"/>
      <c r="B2" s="16">
        <v>3</v>
      </c>
      <c r="C2" s="17">
        <v>4</v>
      </c>
      <c r="D2" s="3">
        <v>3</v>
      </c>
      <c r="E2" s="4"/>
      <c r="F2" s="3">
        <v>2</v>
      </c>
      <c r="G2" s="3">
        <v>6</v>
      </c>
      <c r="H2" s="4"/>
      <c r="I2" s="3">
        <v>2</v>
      </c>
      <c r="J2" s="3">
        <v>6</v>
      </c>
      <c r="K2" s="3">
        <v>7</v>
      </c>
      <c r="L2" s="3">
        <v>3</v>
      </c>
      <c r="M2" s="3">
        <v>6</v>
      </c>
    </row>
    <row r="3" spans="1:13" ht="20.100000000000001" customHeight="1">
      <c r="A3" s="18"/>
      <c r="B3" s="19">
        <v>5</v>
      </c>
      <c r="C3" s="8">
        <v>2</v>
      </c>
      <c r="D3" s="5">
        <v>7</v>
      </c>
      <c r="E3" s="6"/>
      <c r="F3" s="5">
        <v>2</v>
      </c>
      <c r="G3" s="5">
        <v>7</v>
      </c>
      <c r="H3" s="6"/>
      <c r="I3" s="5">
        <v>2</v>
      </c>
      <c r="J3" s="5">
        <v>6</v>
      </c>
      <c r="K3" s="5">
        <v>6</v>
      </c>
      <c r="L3" s="5">
        <v>6</v>
      </c>
      <c r="M3" s="5">
        <v>7</v>
      </c>
    </row>
    <row r="4" spans="1:13" ht="20.100000000000001" customHeight="1">
      <c r="A4" s="18"/>
      <c r="B4" s="19">
        <v>2</v>
      </c>
      <c r="C4" s="8">
        <v>3</v>
      </c>
      <c r="D4" s="5">
        <v>3</v>
      </c>
      <c r="E4" s="6"/>
      <c r="F4" s="5">
        <v>3</v>
      </c>
      <c r="G4" s="5">
        <v>9</v>
      </c>
      <c r="H4" s="6"/>
      <c r="I4" s="5">
        <v>2</v>
      </c>
      <c r="J4" s="5">
        <v>3</v>
      </c>
      <c r="K4" s="5">
        <v>12</v>
      </c>
      <c r="L4" s="5">
        <v>6</v>
      </c>
      <c r="M4" s="5">
        <v>11</v>
      </c>
    </row>
    <row r="5" spans="1:13" ht="20.100000000000001" customHeight="1">
      <c r="A5" s="18"/>
      <c r="B5" s="19">
        <v>2</v>
      </c>
      <c r="C5" s="8">
        <v>3</v>
      </c>
      <c r="D5" s="5">
        <v>7</v>
      </c>
      <c r="E5" s="6"/>
      <c r="F5" s="5">
        <v>2</v>
      </c>
      <c r="G5" s="5">
        <v>3</v>
      </c>
      <c r="H5" s="6"/>
      <c r="I5" s="5">
        <v>2</v>
      </c>
      <c r="J5" s="5">
        <v>3</v>
      </c>
      <c r="K5" s="5">
        <v>3</v>
      </c>
      <c r="L5" s="5">
        <v>6</v>
      </c>
      <c r="M5" s="5">
        <v>7</v>
      </c>
    </row>
    <row r="6" spans="1:13" ht="20.100000000000001" customHeight="1">
      <c r="A6" s="18"/>
      <c r="B6" s="19">
        <v>3</v>
      </c>
      <c r="C6" s="8">
        <v>3</v>
      </c>
      <c r="D6" s="5">
        <v>7</v>
      </c>
      <c r="E6" s="6"/>
      <c r="F6" s="6"/>
      <c r="G6" s="5">
        <v>3</v>
      </c>
      <c r="H6" s="6"/>
      <c r="I6" s="5">
        <v>2</v>
      </c>
      <c r="J6" s="5">
        <v>9</v>
      </c>
      <c r="K6" s="5">
        <v>5</v>
      </c>
      <c r="L6" s="5">
        <v>6</v>
      </c>
      <c r="M6" s="5">
        <v>9</v>
      </c>
    </row>
    <row r="7" spans="1:13" ht="20.100000000000001" customHeight="1">
      <c r="A7" s="18"/>
      <c r="B7" s="19">
        <v>2</v>
      </c>
      <c r="C7" s="8">
        <v>4</v>
      </c>
      <c r="D7" s="5">
        <v>9</v>
      </c>
      <c r="E7" s="6"/>
      <c r="F7" s="6"/>
      <c r="G7" s="5">
        <v>6</v>
      </c>
      <c r="H7" s="6"/>
      <c r="I7" s="5">
        <v>4</v>
      </c>
      <c r="J7" s="5">
        <v>5</v>
      </c>
      <c r="K7" s="5">
        <v>8</v>
      </c>
      <c r="L7" s="5">
        <v>7</v>
      </c>
      <c r="M7" s="5">
        <v>7</v>
      </c>
    </row>
    <row r="8" spans="1:13" ht="20.100000000000001" customHeight="1">
      <c r="A8" s="18"/>
      <c r="B8" s="19">
        <v>3</v>
      </c>
      <c r="C8" s="8">
        <v>2</v>
      </c>
      <c r="D8" s="5">
        <v>9</v>
      </c>
      <c r="E8" s="6"/>
      <c r="F8" s="6"/>
      <c r="G8" s="6"/>
      <c r="H8" s="6"/>
      <c r="I8" s="5">
        <v>2</v>
      </c>
      <c r="J8" s="5">
        <v>6</v>
      </c>
      <c r="K8" s="5">
        <v>5</v>
      </c>
      <c r="L8" s="5">
        <v>5</v>
      </c>
      <c r="M8" s="5">
        <v>12</v>
      </c>
    </row>
    <row r="9" spans="1:13" ht="20.100000000000001" customHeight="1">
      <c r="A9" s="18"/>
      <c r="B9" s="19">
        <v>4</v>
      </c>
      <c r="C9" s="8">
        <v>3</v>
      </c>
      <c r="D9" s="5">
        <v>16</v>
      </c>
      <c r="E9" s="6"/>
      <c r="F9" s="6"/>
      <c r="G9" s="6"/>
      <c r="H9" s="6"/>
      <c r="I9" s="5">
        <v>5</v>
      </c>
      <c r="J9" s="5">
        <v>3</v>
      </c>
      <c r="K9" s="5">
        <v>5</v>
      </c>
      <c r="L9" s="5">
        <v>9</v>
      </c>
      <c r="M9" s="5">
        <v>13</v>
      </c>
    </row>
    <row r="10" spans="1:13" ht="20.100000000000001" customHeight="1">
      <c r="A10" s="18"/>
      <c r="B10" s="19">
        <v>2</v>
      </c>
      <c r="C10" s="8">
        <v>2</v>
      </c>
      <c r="D10" s="5">
        <v>5</v>
      </c>
      <c r="E10" s="6"/>
      <c r="F10" s="6"/>
      <c r="G10" s="6"/>
      <c r="H10" s="6"/>
      <c r="I10" s="5">
        <v>6</v>
      </c>
      <c r="J10" s="5">
        <v>6</v>
      </c>
      <c r="K10" s="5">
        <v>7</v>
      </c>
      <c r="L10" s="5">
        <v>10</v>
      </c>
      <c r="M10" s="5">
        <v>20</v>
      </c>
    </row>
    <row r="11" spans="1:13" ht="20.100000000000001" customHeight="1">
      <c r="A11" s="18"/>
      <c r="B11" s="19">
        <v>3</v>
      </c>
      <c r="C11" s="8">
        <v>3</v>
      </c>
      <c r="D11" s="5">
        <v>2</v>
      </c>
      <c r="E11" s="6"/>
      <c r="F11" s="6"/>
      <c r="G11" s="6"/>
      <c r="H11" s="6"/>
      <c r="I11" s="5">
        <v>13</v>
      </c>
      <c r="J11" s="5">
        <v>6</v>
      </c>
      <c r="K11" s="5">
        <v>11</v>
      </c>
      <c r="L11" s="5">
        <v>15</v>
      </c>
      <c r="M11" s="5">
        <v>8</v>
      </c>
    </row>
    <row r="12" spans="1:13" ht="20.100000000000001" customHeight="1">
      <c r="A12" s="18"/>
      <c r="B12" s="19">
        <v>2</v>
      </c>
      <c r="C12" s="8">
        <v>3</v>
      </c>
      <c r="D12" s="5">
        <v>7</v>
      </c>
      <c r="E12" s="6"/>
      <c r="F12" s="6"/>
      <c r="G12" s="6"/>
      <c r="H12" s="6"/>
      <c r="I12" s="5">
        <v>2</v>
      </c>
      <c r="J12" s="5">
        <v>6</v>
      </c>
      <c r="K12" s="5">
        <v>6</v>
      </c>
      <c r="L12" s="5">
        <v>4</v>
      </c>
      <c r="M12" s="5">
        <v>5</v>
      </c>
    </row>
    <row r="13" spans="1:13" ht="20.100000000000001" customHeight="1">
      <c r="A13" s="18"/>
      <c r="B13" s="19">
        <v>2</v>
      </c>
      <c r="C13" s="8">
        <v>2</v>
      </c>
      <c r="D13" s="5">
        <v>3</v>
      </c>
      <c r="E13" s="6"/>
      <c r="F13" s="6"/>
      <c r="G13" s="6"/>
      <c r="H13" s="6"/>
      <c r="I13" s="5">
        <v>2</v>
      </c>
      <c r="J13" s="5">
        <v>6</v>
      </c>
      <c r="K13" s="5">
        <v>6</v>
      </c>
      <c r="L13" s="5">
        <v>4</v>
      </c>
      <c r="M13" s="6"/>
    </row>
    <row r="14" spans="1:13" ht="20.100000000000001" customHeight="1">
      <c r="A14" s="18"/>
      <c r="B14" s="19">
        <v>2</v>
      </c>
      <c r="C14" s="8">
        <v>2</v>
      </c>
      <c r="D14" s="5">
        <v>4</v>
      </c>
      <c r="E14" s="6"/>
      <c r="F14" s="6"/>
      <c r="G14" s="6"/>
      <c r="H14" s="6"/>
      <c r="I14" s="5">
        <v>5</v>
      </c>
      <c r="J14" s="5">
        <v>6</v>
      </c>
      <c r="K14" s="5">
        <v>6</v>
      </c>
      <c r="L14" s="5">
        <v>8</v>
      </c>
      <c r="M14" s="6"/>
    </row>
    <row r="15" spans="1:13" ht="20.100000000000001" customHeight="1">
      <c r="A15" s="18"/>
      <c r="B15" s="19">
        <v>5</v>
      </c>
      <c r="C15" s="8">
        <v>2</v>
      </c>
      <c r="D15" s="6"/>
      <c r="E15" s="6"/>
      <c r="F15" s="6"/>
      <c r="G15" s="6"/>
      <c r="H15" s="6"/>
      <c r="I15" s="5">
        <v>4</v>
      </c>
      <c r="J15" s="5">
        <v>5</v>
      </c>
      <c r="K15" s="5">
        <v>6</v>
      </c>
      <c r="L15" s="5">
        <v>7</v>
      </c>
      <c r="M15" s="6"/>
    </row>
    <row r="16" spans="1:13" ht="20.100000000000001" customHeight="1">
      <c r="A16" s="18"/>
      <c r="B16" s="19">
        <v>2</v>
      </c>
      <c r="C16" s="8">
        <v>5</v>
      </c>
      <c r="D16" s="6"/>
      <c r="E16" s="6"/>
      <c r="F16" s="6"/>
      <c r="G16" s="6"/>
      <c r="H16" s="6"/>
      <c r="I16" s="5">
        <v>3</v>
      </c>
      <c r="J16" s="5">
        <v>5</v>
      </c>
      <c r="K16" s="5">
        <v>3</v>
      </c>
      <c r="L16" s="5">
        <v>7</v>
      </c>
      <c r="M16" s="6"/>
    </row>
    <row r="17" spans="1:13" ht="20.100000000000001" customHeight="1">
      <c r="A17" s="18"/>
      <c r="B17" s="19">
        <v>2</v>
      </c>
      <c r="C17" s="8">
        <v>5</v>
      </c>
      <c r="D17" s="6"/>
      <c r="E17" s="6"/>
      <c r="F17" s="6"/>
      <c r="G17" s="6"/>
      <c r="H17" s="6"/>
      <c r="I17" s="5">
        <v>3</v>
      </c>
      <c r="J17" s="5">
        <v>7</v>
      </c>
      <c r="K17" s="5">
        <v>9</v>
      </c>
      <c r="L17" s="5">
        <v>5</v>
      </c>
      <c r="M17" s="6"/>
    </row>
    <row r="18" spans="1:13" ht="20.100000000000001" customHeight="1">
      <c r="A18" s="18"/>
      <c r="B18" s="19">
        <v>2</v>
      </c>
      <c r="C18" s="8">
        <v>7</v>
      </c>
      <c r="D18" s="6"/>
      <c r="E18" s="6"/>
      <c r="F18" s="6"/>
      <c r="G18" s="6"/>
      <c r="H18" s="6"/>
      <c r="I18" s="5">
        <v>2</v>
      </c>
      <c r="J18" s="5">
        <v>3</v>
      </c>
      <c r="K18" s="5">
        <v>6</v>
      </c>
      <c r="L18" s="5">
        <v>5</v>
      </c>
      <c r="M18" s="6"/>
    </row>
    <row r="19" spans="1:13" ht="20.100000000000001" customHeight="1">
      <c r="A19" s="18"/>
      <c r="B19" s="19">
        <v>2</v>
      </c>
      <c r="C19" s="8">
        <v>2</v>
      </c>
      <c r="D19" s="6"/>
      <c r="E19" s="6"/>
      <c r="F19" s="6"/>
      <c r="G19" s="6"/>
      <c r="H19" s="6"/>
      <c r="I19" s="5">
        <v>2</v>
      </c>
      <c r="J19" s="5">
        <v>6</v>
      </c>
      <c r="K19" s="5">
        <v>6</v>
      </c>
      <c r="L19" s="5">
        <v>4</v>
      </c>
      <c r="M19" s="6"/>
    </row>
    <row r="20" spans="1:13" ht="20.100000000000001" customHeight="1">
      <c r="A20" s="18"/>
      <c r="B20" s="19">
        <v>3</v>
      </c>
      <c r="C20" s="8">
        <v>2</v>
      </c>
      <c r="D20" s="6"/>
      <c r="E20" s="6"/>
      <c r="F20" s="6"/>
      <c r="G20" s="6"/>
      <c r="H20" s="6"/>
      <c r="I20" s="5">
        <v>2</v>
      </c>
      <c r="J20" s="5">
        <v>4</v>
      </c>
      <c r="K20" s="5">
        <v>7</v>
      </c>
      <c r="L20" s="5">
        <v>6</v>
      </c>
      <c r="M20" s="6"/>
    </row>
    <row r="21" spans="1:13" ht="20.100000000000001" customHeight="1">
      <c r="A21" s="18"/>
      <c r="B21" s="19">
        <v>2</v>
      </c>
      <c r="C21" s="8">
        <v>3</v>
      </c>
      <c r="D21" s="6"/>
      <c r="E21" s="6"/>
      <c r="F21" s="6"/>
      <c r="G21" s="6"/>
      <c r="H21" s="6"/>
      <c r="I21" s="5">
        <v>4</v>
      </c>
      <c r="J21" s="5">
        <v>6</v>
      </c>
      <c r="K21" s="5">
        <v>6</v>
      </c>
      <c r="L21" s="5">
        <v>7</v>
      </c>
      <c r="M21" s="6"/>
    </row>
    <row r="22" spans="1:13" ht="20.100000000000001" customHeight="1">
      <c r="A22" s="18"/>
      <c r="B22" s="19">
        <v>2</v>
      </c>
      <c r="C22" s="8">
        <v>2</v>
      </c>
      <c r="D22" s="6"/>
      <c r="E22" s="6"/>
      <c r="F22" s="6"/>
      <c r="G22" s="6"/>
      <c r="H22" s="6"/>
      <c r="I22" s="6"/>
      <c r="J22" s="5">
        <v>7</v>
      </c>
      <c r="K22" s="5">
        <v>5</v>
      </c>
      <c r="L22" s="6"/>
      <c r="M22" s="6"/>
    </row>
    <row r="23" spans="1:13" ht="20.100000000000001" customHeight="1">
      <c r="A23" s="18"/>
      <c r="B23" s="19">
        <v>2</v>
      </c>
      <c r="C23" s="8">
        <v>2</v>
      </c>
      <c r="D23" s="6"/>
      <c r="E23" s="6"/>
      <c r="F23" s="6"/>
      <c r="G23" s="6"/>
      <c r="H23" s="6"/>
      <c r="I23" s="6"/>
      <c r="J23" s="5">
        <v>6</v>
      </c>
      <c r="K23" s="5">
        <v>6</v>
      </c>
      <c r="L23" s="6"/>
      <c r="M23" s="6"/>
    </row>
    <row r="24" spans="1:13" ht="20.100000000000001" customHeight="1">
      <c r="A24" s="18"/>
      <c r="B24" s="19">
        <v>3</v>
      </c>
      <c r="C24" s="8">
        <v>2</v>
      </c>
      <c r="D24" s="6"/>
      <c r="E24" s="6"/>
      <c r="F24" s="6"/>
      <c r="G24" s="6"/>
      <c r="H24" s="6"/>
      <c r="I24" s="6"/>
      <c r="J24" s="5">
        <v>4</v>
      </c>
      <c r="K24" s="5">
        <v>6</v>
      </c>
      <c r="L24" s="6"/>
      <c r="M24" s="6"/>
    </row>
    <row r="25" spans="1:13" ht="20.100000000000001" customHeight="1">
      <c r="A25" s="18"/>
      <c r="B25" s="19">
        <v>6</v>
      </c>
      <c r="C25" s="8">
        <v>10</v>
      </c>
      <c r="D25" s="6"/>
      <c r="E25" s="6"/>
      <c r="F25" s="6"/>
      <c r="G25" s="6"/>
      <c r="H25" s="6"/>
      <c r="I25" s="6"/>
      <c r="J25" s="5">
        <v>6</v>
      </c>
      <c r="K25" s="5">
        <v>6</v>
      </c>
      <c r="L25" s="6"/>
      <c r="M25" s="6"/>
    </row>
    <row r="26" spans="1:13" ht="20.100000000000001" customHeight="1">
      <c r="A26" s="18"/>
      <c r="B26" s="19">
        <v>3</v>
      </c>
      <c r="C26" s="8">
        <v>3</v>
      </c>
      <c r="D26" s="6"/>
      <c r="E26" s="6"/>
      <c r="F26" s="6"/>
      <c r="G26" s="6"/>
      <c r="H26" s="6"/>
      <c r="I26" s="6"/>
      <c r="J26" s="5">
        <v>3</v>
      </c>
      <c r="K26" s="5">
        <v>6</v>
      </c>
      <c r="L26" s="6"/>
      <c r="M26" s="6"/>
    </row>
    <row r="27" spans="1:13" ht="20.100000000000001" customHeight="1">
      <c r="A27" s="18"/>
      <c r="B27" s="19">
        <v>2</v>
      </c>
      <c r="C27" s="8">
        <v>2</v>
      </c>
      <c r="D27" s="6"/>
      <c r="E27" s="6"/>
      <c r="F27" s="6"/>
      <c r="G27" s="6"/>
      <c r="H27" s="6"/>
      <c r="I27" s="6"/>
      <c r="J27" s="5">
        <v>6</v>
      </c>
      <c r="K27" s="5">
        <v>11</v>
      </c>
      <c r="L27" s="6"/>
      <c r="M27" s="6"/>
    </row>
    <row r="28" spans="1:13" ht="20.100000000000001" customHeight="1">
      <c r="A28" s="18"/>
      <c r="B28" s="19">
        <v>2</v>
      </c>
      <c r="C28" s="8">
        <v>2</v>
      </c>
      <c r="D28" s="6"/>
      <c r="E28" s="6"/>
      <c r="F28" s="6"/>
      <c r="G28" s="6"/>
      <c r="H28" s="6"/>
      <c r="I28" s="6"/>
      <c r="J28" s="5">
        <v>7</v>
      </c>
      <c r="K28" s="5">
        <v>4</v>
      </c>
      <c r="L28" s="6"/>
      <c r="M28" s="6"/>
    </row>
    <row r="29" spans="1:13" ht="20.100000000000001" customHeight="1">
      <c r="A29" s="18"/>
      <c r="B29" s="19">
        <v>2</v>
      </c>
      <c r="C29" s="8">
        <v>2</v>
      </c>
      <c r="D29" s="6"/>
      <c r="E29" s="6"/>
      <c r="F29" s="6"/>
      <c r="G29" s="6"/>
      <c r="H29" s="6"/>
      <c r="I29" s="6"/>
      <c r="J29" s="5">
        <v>6</v>
      </c>
      <c r="K29" s="5">
        <v>12</v>
      </c>
      <c r="L29" s="6"/>
      <c r="M29" s="6"/>
    </row>
    <row r="30" spans="1:13" ht="20.100000000000001" customHeight="1">
      <c r="A30" s="18"/>
      <c r="B30" s="19">
        <v>6</v>
      </c>
      <c r="C30" s="8">
        <v>4</v>
      </c>
      <c r="D30" s="6"/>
      <c r="E30" s="6"/>
      <c r="F30" s="6"/>
      <c r="G30" s="6"/>
      <c r="H30" s="6"/>
      <c r="I30" s="6"/>
      <c r="J30" s="5">
        <v>10</v>
      </c>
      <c r="K30" s="5">
        <v>11</v>
      </c>
      <c r="L30" s="6"/>
      <c r="M30" s="6"/>
    </row>
    <row r="31" spans="1:13" ht="20.100000000000001" customHeight="1">
      <c r="A31" s="18"/>
      <c r="B31" s="19">
        <v>2</v>
      </c>
      <c r="C31" s="8">
        <v>2</v>
      </c>
      <c r="D31" s="6"/>
      <c r="E31" s="6"/>
      <c r="F31" s="6"/>
      <c r="G31" s="6"/>
      <c r="H31" s="6"/>
      <c r="I31" s="6"/>
      <c r="J31" s="5">
        <v>8</v>
      </c>
      <c r="K31" s="5">
        <v>3</v>
      </c>
      <c r="L31" s="6"/>
      <c r="M31" s="6"/>
    </row>
    <row r="32" spans="1:13" ht="20.100000000000001" customHeight="1">
      <c r="A32" s="18"/>
      <c r="B32" s="20"/>
      <c r="C32" s="8">
        <v>2</v>
      </c>
      <c r="D32" s="6"/>
      <c r="E32" s="6"/>
      <c r="F32" s="6"/>
      <c r="G32" s="6"/>
      <c r="H32" s="6"/>
      <c r="I32" s="6"/>
      <c r="J32" s="5">
        <v>3</v>
      </c>
      <c r="K32" s="5">
        <v>7</v>
      </c>
      <c r="L32" s="6"/>
      <c r="M32" s="6"/>
    </row>
    <row r="33" spans="1:13" ht="20.100000000000001" customHeight="1">
      <c r="A33" s="18"/>
      <c r="B33" s="20"/>
      <c r="C33" s="8">
        <v>2</v>
      </c>
      <c r="D33" s="6"/>
      <c r="E33" s="6"/>
      <c r="F33" s="6"/>
      <c r="G33" s="6"/>
      <c r="H33" s="6"/>
      <c r="I33" s="6"/>
      <c r="J33" s="5">
        <v>7</v>
      </c>
      <c r="K33" s="5">
        <v>5</v>
      </c>
      <c r="L33" s="6"/>
      <c r="M33" s="6"/>
    </row>
    <row r="34" spans="1:13" ht="20.100000000000001" customHeight="1">
      <c r="A34" s="18"/>
      <c r="B34" s="20"/>
      <c r="C34" s="8">
        <v>2</v>
      </c>
      <c r="D34" s="6"/>
      <c r="E34" s="6"/>
      <c r="F34" s="6"/>
      <c r="G34" s="6"/>
      <c r="H34" s="6"/>
      <c r="I34" s="6"/>
      <c r="J34" s="6"/>
      <c r="K34" s="5">
        <v>6</v>
      </c>
      <c r="L34" s="6"/>
      <c r="M34" s="6"/>
    </row>
    <row r="35" spans="1:13" ht="20.100000000000001" customHeight="1">
      <c r="A35" s="18"/>
      <c r="B35" s="20"/>
      <c r="C35" s="8">
        <v>3</v>
      </c>
      <c r="D35" s="6"/>
      <c r="E35" s="6"/>
      <c r="F35" s="6"/>
      <c r="G35" s="6"/>
      <c r="H35" s="6"/>
      <c r="I35" s="6"/>
      <c r="J35" s="6"/>
      <c r="K35" s="5">
        <v>7</v>
      </c>
      <c r="L35" s="6"/>
      <c r="M35" s="6"/>
    </row>
    <row r="36" spans="1:13" ht="20.100000000000001" customHeight="1">
      <c r="A36" s="18"/>
      <c r="B36" s="20"/>
      <c r="C36" s="8">
        <v>7</v>
      </c>
      <c r="D36" s="6"/>
      <c r="E36" s="6"/>
      <c r="F36" s="6"/>
      <c r="G36" s="6"/>
      <c r="H36" s="6"/>
      <c r="I36" s="6"/>
      <c r="J36" s="6"/>
      <c r="K36" s="5">
        <v>6</v>
      </c>
      <c r="L36" s="6"/>
      <c r="M36" s="6"/>
    </row>
    <row r="37" spans="1:13" ht="20.100000000000001" customHeight="1">
      <c r="A37" s="18"/>
      <c r="B37" s="20"/>
      <c r="C37" s="8">
        <v>2</v>
      </c>
      <c r="D37" s="6"/>
      <c r="E37" s="6"/>
      <c r="F37" s="6"/>
      <c r="G37" s="6"/>
      <c r="H37" s="6"/>
      <c r="I37" s="6"/>
      <c r="J37" s="6"/>
      <c r="K37" s="5">
        <v>8</v>
      </c>
      <c r="L37" s="6"/>
      <c r="M37" s="6"/>
    </row>
    <row r="38" spans="1:13" ht="20.100000000000001" customHeight="1">
      <c r="A38" s="18"/>
      <c r="B38" s="20"/>
      <c r="C38" s="8">
        <v>3</v>
      </c>
      <c r="D38" s="6"/>
      <c r="E38" s="6"/>
      <c r="F38" s="6"/>
      <c r="G38" s="6"/>
      <c r="H38" s="6"/>
      <c r="I38" s="6"/>
      <c r="J38" s="6"/>
      <c r="K38" s="5">
        <v>7</v>
      </c>
      <c r="L38" s="6"/>
      <c r="M38" s="6"/>
    </row>
    <row r="39" spans="1:13" ht="20.100000000000001" customHeight="1">
      <c r="A39" s="18"/>
      <c r="B39" s="20"/>
      <c r="C39" s="8">
        <v>2</v>
      </c>
      <c r="D39" s="6"/>
      <c r="E39" s="6"/>
      <c r="F39" s="6"/>
      <c r="G39" s="6"/>
      <c r="H39" s="6"/>
      <c r="I39" s="6"/>
      <c r="J39" s="6"/>
      <c r="K39" s="5">
        <v>6</v>
      </c>
      <c r="L39" s="6"/>
      <c r="M39" s="6"/>
    </row>
    <row r="40" spans="1:13" ht="20.100000000000001" customHeight="1">
      <c r="A40" s="18"/>
      <c r="B40" s="20"/>
      <c r="C40" s="8">
        <v>2</v>
      </c>
      <c r="D40" s="6"/>
      <c r="E40" s="6"/>
      <c r="F40" s="6"/>
      <c r="G40" s="6"/>
      <c r="H40" s="6"/>
      <c r="I40" s="6"/>
      <c r="J40" s="6"/>
      <c r="K40" s="5">
        <v>6</v>
      </c>
      <c r="L40" s="6"/>
      <c r="M40" s="6"/>
    </row>
    <row r="41" spans="1:13" ht="20.100000000000001" customHeight="1">
      <c r="A41" s="18"/>
      <c r="B41" s="20"/>
      <c r="C41" s="8">
        <v>3</v>
      </c>
      <c r="D41" s="6"/>
      <c r="E41" s="6"/>
      <c r="F41" s="6"/>
      <c r="G41" s="6"/>
      <c r="H41" s="6"/>
      <c r="I41" s="6"/>
      <c r="J41" s="6"/>
      <c r="K41" s="5">
        <v>11</v>
      </c>
      <c r="L41" s="6"/>
      <c r="M41" s="6"/>
    </row>
    <row r="42" spans="1:13" ht="20.100000000000001" customHeight="1">
      <c r="A42" s="18"/>
      <c r="B42" s="20"/>
      <c r="C42" s="8">
        <v>3</v>
      </c>
      <c r="D42" s="6"/>
      <c r="E42" s="6"/>
      <c r="F42" s="6"/>
      <c r="G42" s="6"/>
      <c r="H42" s="6"/>
      <c r="I42" s="6"/>
      <c r="J42" s="6"/>
      <c r="K42" s="5">
        <v>5</v>
      </c>
      <c r="L42" s="6"/>
      <c r="M42" s="6"/>
    </row>
    <row r="43" spans="1:13" ht="20.100000000000001" customHeight="1">
      <c r="A43" s="18"/>
      <c r="B43" s="20"/>
      <c r="C43" s="8">
        <v>3</v>
      </c>
      <c r="D43" s="6"/>
      <c r="E43" s="6"/>
      <c r="F43" s="6"/>
      <c r="G43" s="6"/>
      <c r="H43" s="6"/>
      <c r="I43" s="6"/>
      <c r="J43" s="6"/>
      <c r="K43" s="5">
        <v>11</v>
      </c>
      <c r="L43" s="6"/>
      <c r="M43" s="6"/>
    </row>
    <row r="44" spans="1:13" ht="20.100000000000001" customHeight="1">
      <c r="A44" s="18"/>
      <c r="B44" s="20"/>
      <c r="C44" s="8">
        <v>3</v>
      </c>
      <c r="D44" s="6"/>
      <c r="E44" s="6"/>
      <c r="F44" s="6"/>
      <c r="G44" s="6"/>
      <c r="H44" s="6"/>
      <c r="I44" s="6"/>
      <c r="J44" s="6"/>
      <c r="K44" s="5">
        <v>7</v>
      </c>
      <c r="L44" s="6"/>
      <c r="M44" s="6"/>
    </row>
    <row r="45" spans="1:13" ht="20.100000000000001" customHeight="1">
      <c r="A45" s="18"/>
      <c r="B45" s="20"/>
      <c r="C45" s="8">
        <v>2</v>
      </c>
      <c r="D45" s="6"/>
      <c r="E45" s="6"/>
      <c r="F45" s="6"/>
      <c r="G45" s="6"/>
      <c r="H45" s="6"/>
      <c r="I45" s="6"/>
      <c r="J45" s="6"/>
      <c r="K45" s="5">
        <v>8</v>
      </c>
      <c r="L45" s="6"/>
      <c r="M45" s="6"/>
    </row>
    <row r="46" spans="1:13" ht="20.100000000000001" customHeight="1">
      <c r="A46" s="18"/>
      <c r="B46" s="20"/>
      <c r="C46" s="8">
        <v>2</v>
      </c>
      <c r="D46" s="6"/>
      <c r="E46" s="6"/>
      <c r="F46" s="6"/>
      <c r="G46" s="6"/>
      <c r="H46" s="6"/>
      <c r="I46" s="6"/>
      <c r="J46" s="6"/>
      <c r="K46" s="5">
        <v>7</v>
      </c>
      <c r="L46" s="6"/>
      <c r="M46" s="6"/>
    </row>
    <row r="47" spans="1:13" ht="20.100000000000001" customHeight="1">
      <c r="A47" s="18"/>
      <c r="B47" s="20"/>
      <c r="C47" s="8">
        <v>2</v>
      </c>
      <c r="D47" s="6"/>
      <c r="E47" s="6"/>
      <c r="F47" s="6"/>
      <c r="G47" s="6"/>
      <c r="H47" s="6"/>
      <c r="I47" s="6"/>
      <c r="J47" s="6"/>
      <c r="K47" s="5">
        <v>9</v>
      </c>
      <c r="L47" s="6"/>
      <c r="M47" s="6"/>
    </row>
    <row r="48" spans="1:13" ht="20.100000000000001" customHeight="1">
      <c r="A48" s="18"/>
      <c r="B48" s="20"/>
      <c r="C48" s="8">
        <v>3</v>
      </c>
      <c r="D48" s="6"/>
      <c r="E48" s="6"/>
      <c r="F48" s="6"/>
      <c r="G48" s="6"/>
      <c r="H48" s="6"/>
      <c r="I48" s="6"/>
      <c r="J48" s="6"/>
      <c r="K48" s="5">
        <v>5</v>
      </c>
      <c r="L48" s="6"/>
      <c r="M48" s="6"/>
    </row>
    <row r="49" spans="1:13" ht="20.100000000000001" customHeight="1">
      <c r="A49" s="18"/>
      <c r="B49" s="20"/>
      <c r="C49" s="8">
        <v>4</v>
      </c>
      <c r="D49" s="6"/>
      <c r="E49" s="6"/>
      <c r="F49" s="6"/>
      <c r="G49" s="6"/>
      <c r="H49" s="6"/>
      <c r="I49" s="6"/>
      <c r="J49" s="6"/>
      <c r="K49" s="5">
        <v>7</v>
      </c>
      <c r="L49" s="6"/>
      <c r="M49" s="6"/>
    </row>
    <row r="50" spans="1:13" ht="20.100000000000001" customHeight="1">
      <c r="A50" s="18"/>
      <c r="B50" s="20"/>
      <c r="C50" s="8">
        <v>2</v>
      </c>
      <c r="D50" s="6"/>
      <c r="E50" s="6"/>
      <c r="F50" s="6"/>
      <c r="G50" s="6"/>
      <c r="H50" s="6"/>
      <c r="I50" s="6"/>
      <c r="J50" s="6"/>
      <c r="K50" s="5">
        <v>6</v>
      </c>
      <c r="L50" s="6"/>
      <c r="M50" s="6"/>
    </row>
    <row r="51" spans="1:13" ht="20.100000000000001" customHeight="1">
      <c r="A51" s="18"/>
      <c r="B51" s="20"/>
      <c r="C51" s="8">
        <v>2</v>
      </c>
      <c r="D51" s="6"/>
      <c r="E51" s="6"/>
      <c r="F51" s="6"/>
      <c r="G51" s="6"/>
      <c r="H51" s="6"/>
      <c r="I51" s="6"/>
      <c r="J51" s="6"/>
      <c r="K51" s="5">
        <v>9</v>
      </c>
      <c r="L51" s="6"/>
      <c r="M51" s="6"/>
    </row>
    <row r="52" spans="1:13" ht="20.100000000000001" customHeight="1">
      <c r="A52" s="18"/>
      <c r="B52" s="20"/>
      <c r="C52" s="8">
        <v>5</v>
      </c>
      <c r="D52" s="6"/>
      <c r="E52" s="6"/>
      <c r="F52" s="6"/>
      <c r="G52" s="6"/>
      <c r="H52" s="6"/>
      <c r="I52" s="6"/>
      <c r="J52" s="6"/>
      <c r="K52" s="5">
        <v>5</v>
      </c>
      <c r="L52" s="6"/>
      <c r="M52" s="6"/>
    </row>
    <row r="53" spans="1:13" ht="20.100000000000001" customHeight="1">
      <c r="A53" s="18"/>
      <c r="B53" s="20"/>
      <c r="C53" s="8">
        <v>2</v>
      </c>
      <c r="D53" s="6"/>
      <c r="E53" s="6"/>
      <c r="F53" s="6"/>
      <c r="G53" s="6"/>
      <c r="H53" s="6"/>
      <c r="I53" s="6"/>
      <c r="J53" s="6"/>
      <c r="K53" s="5">
        <v>5</v>
      </c>
      <c r="L53" s="6"/>
      <c r="M53" s="6"/>
    </row>
    <row r="54" spans="1:13" ht="20.100000000000001" customHeight="1">
      <c r="A54" s="18"/>
      <c r="B54" s="20"/>
      <c r="C54" s="8">
        <v>2</v>
      </c>
      <c r="D54" s="6"/>
      <c r="E54" s="6"/>
      <c r="F54" s="6"/>
      <c r="G54" s="6"/>
      <c r="H54" s="6"/>
      <c r="I54" s="6"/>
      <c r="J54" s="6"/>
      <c r="K54" s="5">
        <v>7</v>
      </c>
      <c r="L54" s="6"/>
      <c r="M54" s="6"/>
    </row>
    <row r="55" spans="1:13" ht="20.100000000000001" customHeight="1">
      <c r="A55" s="18"/>
      <c r="B55" s="20"/>
      <c r="C55" s="8">
        <v>7</v>
      </c>
      <c r="D55" s="6"/>
      <c r="E55" s="6"/>
      <c r="F55" s="6"/>
      <c r="G55" s="6"/>
      <c r="H55" s="6"/>
      <c r="I55" s="6"/>
      <c r="J55" s="6"/>
      <c r="K55" s="5">
        <v>6</v>
      </c>
      <c r="L55" s="6"/>
      <c r="M55" s="6"/>
    </row>
    <row r="56" spans="1:13" ht="20.100000000000001" customHeight="1">
      <c r="A56" s="18"/>
      <c r="B56" s="20"/>
      <c r="C56" s="8">
        <v>9</v>
      </c>
      <c r="D56" s="6"/>
      <c r="E56" s="6"/>
      <c r="F56" s="6"/>
      <c r="G56" s="6"/>
      <c r="H56" s="6"/>
      <c r="I56" s="6"/>
      <c r="J56" s="6"/>
      <c r="K56" s="5">
        <v>7</v>
      </c>
      <c r="L56" s="6"/>
      <c r="M56" s="6"/>
    </row>
    <row r="57" spans="1:13" ht="20.100000000000001" customHeight="1">
      <c r="A57" s="18"/>
      <c r="B57" s="20"/>
      <c r="C57" s="8">
        <v>4</v>
      </c>
      <c r="D57" s="6"/>
      <c r="E57" s="6"/>
      <c r="F57" s="6"/>
      <c r="G57" s="6"/>
      <c r="H57" s="6"/>
      <c r="I57" s="6"/>
      <c r="J57" s="6"/>
      <c r="K57" s="5">
        <v>6</v>
      </c>
      <c r="L57" s="6"/>
      <c r="M57" s="6"/>
    </row>
    <row r="58" spans="1:13" ht="20.100000000000001" customHeight="1">
      <c r="A58" s="18"/>
      <c r="B58" s="20"/>
      <c r="C58" s="8">
        <v>3</v>
      </c>
      <c r="D58" s="6"/>
      <c r="E58" s="6"/>
      <c r="F58" s="6"/>
      <c r="G58" s="6"/>
      <c r="H58" s="6"/>
      <c r="I58" s="6"/>
      <c r="J58" s="6"/>
      <c r="K58" s="5">
        <v>6</v>
      </c>
      <c r="L58" s="6"/>
      <c r="M58" s="6"/>
    </row>
    <row r="59" spans="1:13" ht="20.100000000000001" customHeight="1">
      <c r="A59" s="18"/>
      <c r="B59" s="20"/>
      <c r="C59" s="8">
        <v>3</v>
      </c>
      <c r="D59" s="6"/>
      <c r="E59" s="6"/>
      <c r="F59" s="6"/>
      <c r="G59" s="6"/>
      <c r="H59" s="6"/>
      <c r="I59" s="6"/>
      <c r="J59" s="6"/>
      <c r="K59" s="5">
        <v>6</v>
      </c>
      <c r="L59" s="6"/>
      <c r="M59" s="6"/>
    </row>
    <row r="60" spans="1:13" ht="20.100000000000001" customHeight="1">
      <c r="A60" s="18"/>
      <c r="B60" s="20"/>
      <c r="C60" s="8">
        <v>2</v>
      </c>
      <c r="D60" s="6"/>
      <c r="E60" s="6"/>
      <c r="F60" s="6"/>
      <c r="G60" s="6"/>
      <c r="H60" s="6"/>
      <c r="I60" s="6"/>
      <c r="J60" s="6"/>
      <c r="K60" s="5">
        <v>8</v>
      </c>
      <c r="L60" s="6"/>
      <c r="M60" s="6"/>
    </row>
    <row r="61" spans="1:13" ht="20.100000000000001" customHeight="1">
      <c r="A61" s="18"/>
      <c r="B61" s="20"/>
      <c r="C61" s="8">
        <v>3</v>
      </c>
      <c r="D61" s="6"/>
      <c r="E61" s="6"/>
      <c r="F61" s="6"/>
      <c r="G61" s="6"/>
      <c r="H61" s="6"/>
      <c r="I61" s="6"/>
      <c r="J61" s="6"/>
      <c r="K61" s="5">
        <v>5</v>
      </c>
      <c r="L61" s="6"/>
      <c r="M61" s="6"/>
    </row>
    <row r="62" spans="1:13" ht="20.100000000000001" customHeight="1">
      <c r="A62" s="18"/>
      <c r="B62" s="20"/>
      <c r="C62" s="8">
        <v>3</v>
      </c>
      <c r="D62" s="6"/>
      <c r="E62" s="6"/>
      <c r="F62" s="6"/>
      <c r="G62" s="6"/>
      <c r="H62" s="6"/>
      <c r="I62" s="6"/>
      <c r="J62" s="6"/>
      <c r="K62" s="5">
        <v>6</v>
      </c>
      <c r="L62" s="6"/>
      <c r="M62" s="6"/>
    </row>
    <row r="63" spans="1:13" ht="20.100000000000001" customHeight="1">
      <c r="A63" s="18"/>
      <c r="B63" s="20"/>
      <c r="C63" s="8">
        <v>2</v>
      </c>
      <c r="D63" s="6"/>
      <c r="E63" s="6"/>
      <c r="F63" s="6"/>
      <c r="G63" s="6"/>
      <c r="H63" s="6"/>
      <c r="I63" s="6"/>
      <c r="J63" s="6"/>
      <c r="K63" s="5">
        <v>7</v>
      </c>
      <c r="L63" s="6"/>
      <c r="M63" s="6"/>
    </row>
    <row r="64" spans="1:13" ht="20.100000000000001" customHeight="1">
      <c r="A64" s="18"/>
      <c r="B64" s="20"/>
      <c r="C64" s="8">
        <v>2</v>
      </c>
      <c r="D64" s="6"/>
      <c r="E64" s="6"/>
      <c r="F64" s="6"/>
      <c r="G64" s="6"/>
      <c r="H64" s="6"/>
      <c r="I64" s="6"/>
      <c r="J64" s="6"/>
      <c r="K64" s="5">
        <v>10</v>
      </c>
      <c r="L64" s="6"/>
      <c r="M64" s="6"/>
    </row>
    <row r="65" spans="1:13" ht="20.100000000000001" customHeight="1">
      <c r="A65" s="18"/>
      <c r="B65" s="20"/>
      <c r="C65" s="8">
        <v>2</v>
      </c>
      <c r="D65" s="6"/>
      <c r="E65" s="6"/>
      <c r="F65" s="6"/>
      <c r="G65" s="6"/>
      <c r="H65" s="6"/>
      <c r="I65" s="6"/>
      <c r="J65" s="6"/>
      <c r="K65" s="5">
        <v>4</v>
      </c>
      <c r="L65" s="6"/>
      <c r="M65" s="6"/>
    </row>
    <row r="66" spans="1:13" ht="20.100000000000001" customHeight="1">
      <c r="A66" s="18"/>
      <c r="B66" s="20"/>
      <c r="C66" s="8">
        <v>2</v>
      </c>
      <c r="D66" s="6"/>
      <c r="E66" s="6"/>
      <c r="F66" s="6"/>
      <c r="G66" s="6"/>
      <c r="H66" s="6"/>
      <c r="I66" s="6"/>
      <c r="J66" s="6"/>
      <c r="K66" s="5">
        <v>6</v>
      </c>
      <c r="L66" s="6"/>
      <c r="M66" s="6"/>
    </row>
    <row r="67" spans="1:13" ht="20.100000000000001" customHeight="1">
      <c r="A67" s="18"/>
      <c r="B67" s="20"/>
      <c r="C67" s="8">
        <v>7</v>
      </c>
      <c r="D67" s="6"/>
      <c r="E67" s="6"/>
      <c r="F67" s="6"/>
      <c r="G67" s="6"/>
      <c r="H67" s="6"/>
      <c r="I67" s="6"/>
      <c r="J67" s="6"/>
      <c r="K67" s="5">
        <v>5</v>
      </c>
      <c r="L67" s="6"/>
      <c r="M67" s="6"/>
    </row>
    <row r="68" spans="1:13" ht="20.100000000000001" customHeight="1">
      <c r="A68" s="18"/>
      <c r="B68" s="20"/>
      <c r="C68" s="8">
        <v>2</v>
      </c>
      <c r="D68" s="6"/>
      <c r="E68" s="6"/>
      <c r="F68" s="6"/>
      <c r="G68" s="6"/>
      <c r="H68" s="6"/>
      <c r="I68" s="6"/>
      <c r="J68" s="6"/>
      <c r="K68" s="5">
        <v>6</v>
      </c>
      <c r="L68" s="6"/>
      <c r="M68" s="6"/>
    </row>
    <row r="69" spans="1:13" ht="20.100000000000001" customHeight="1">
      <c r="A69" s="18"/>
      <c r="B69" s="20"/>
      <c r="C69" s="8">
        <v>2</v>
      </c>
      <c r="D69" s="6"/>
      <c r="E69" s="6"/>
      <c r="F69" s="6"/>
      <c r="G69" s="6"/>
      <c r="H69" s="6"/>
      <c r="I69" s="6"/>
      <c r="J69" s="6"/>
      <c r="K69" s="5">
        <v>11</v>
      </c>
      <c r="L69" s="6"/>
      <c r="M69" s="6"/>
    </row>
    <row r="70" spans="1:13" ht="20.100000000000001" customHeight="1">
      <c r="A70" s="18"/>
      <c r="B70" s="20"/>
      <c r="C70" s="8">
        <v>10</v>
      </c>
      <c r="D70" s="6"/>
      <c r="E70" s="6"/>
      <c r="F70" s="6"/>
      <c r="G70" s="6"/>
      <c r="H70" s="6"/>
      <c r="I70" s="6"/>
      <c r="J70" s="6"/>
      <c r="K70" s="5">
        <v>6</v>
      </c>
      <c r="L70" s="6"/>
      <c r="M70" s="6"/>
    </row>
    <row r="71" spans="1:13" ht="20.100000000000001" customHeight="1">
      <c r="A71" s="18"/>
      <c r="B71" s="20"/>
      <c r="C71" s="8">
        <v>8</v>
      </c>
      <c r="D71" s="6"/>
      <c r="E71" s="6"/>
      <c r="F71" s="6"/>
      <c r="G71" s="6"/>
      <c r="H71" s="6"/>
      <c r="I71" s="6"/>
      <c r="J71" s="6"/>
      <c r="K71" s="5">
        <v>6</v>
      </c>
      <c r="L71" s="6"/>
      <c r="M71" s="6"/>
    </row>
    <row r="72" spans="1:13" ht="20.100000000000001" customHeight="1">
      <c r="A72" s="18"/>
      <c r="B72" s="20"/>
      <c r="C72" s="8">
        <v>2</v>
      </c>
      <c r="D72" s="6"/>
      <c r="E72" s="6"/>
      <c r="F72" s="6"/>
      <c r="G72" s="6"/>
      <c r="H72" s="6"/>
      <c r="I72" s="6"/>
      <c r="J72" s="6"/>
      <c r="K72" s="5">
        <v>6</v>
      </c>
      <c r="L72" s="6"/>
      <c r="M72" s="6"/>
    </row>
    <row r="73" spans="1:13" ht="20.100000000000001" customHeight="1">
      <c r="A73" s="18"/>
      <c r="B73" s="20"/>
      <c r="C73" s="8">
        <v>9</v>
      </c>
      <c r="D73" s="6"/>
      <c r="E73" s="6"/>
      <c r="F73" s="6"/>
      <c r="G73" s="6"/>
      <c r="H73" s="6"/>
      <c r="I73" s="6"/>
      <c r="J73" s="6"/>
      <c r="K73" s="5">
        <v>6</v>
      </c>
      <c r="L73" s="6"/>
      <c r="M73" s="6"/>
    </row>
    <row r="74" spans="1:13" ht="20.100000000000001" customHeight="1">
      <c r="A74" s="18"/>
      <c r="B74" s="20"/>
      <c r="C74" s="8">
        <v>2</v>
      </c>
      <c r="D74" s="6"/>
      <c r="E74" s="6"/>
      <c r="F74" s="6"/>
      <c r="G74" s="6"/>
      <c r="H74" s="6"/>
      <c r="I74" s="6"/>
      <c r="J74" s="6"/>
      <c r="K74" s="5">
        <v>6</v>
      </c>
      <c r="L74" s="6"/>
      <c r="M74" s="6"/>
    </row>
    <row r="75" spans="1:13" ht="20.100000000000001" customHeight="1">
      <c r="A75" s="18"/>
      <c r="B75" s="20"/>
      <c r="C75" s="8">
        <v>2</v>
      </c>
      <c r="D75" s="6"/>
      <c r="E75" s="6"/>
      <c r="F75" s="6"/>
      <c r="G75" s="6"/>
      <c r="H75" s="6"/>
      <c r="I75" s="6"/>
      <c r="J75" s="6"/>
      <c r="K75" s="5">
        <v>7</v>
      </c>
      <c r="L75" s="6"/>
      <c r="M75" s="6"/>
    </row>
    <row r="76" spans="1:13" ht="20.100000000000001" customHeight="1">
      <c r="A76" s="18"/>
      <c r="B76" s="20"/>
      <c r="C76" s="8">
        <v>2</v>
      </c>
      <c r="D76" s="6"/>
      <c r="E76" s="6"/>
      <c r="F76" s="6"/>
      <c r="G76" s="6"/>
      <c r="H76" s="6"/>
      <c r="I76" s="6"/>
      <c r="J76" s="6"/>
      <c r="K76" s="5">
        <v>7</v>
      </c>
      <c r="L76" s="6"/>
      <c r="M76" s="6"/>
    </row>
    <row r="77" spans="1:13" ht="20.100000000000001" customHeight="1">
      <c r="A77" s="18"/>
      <c r="B77" s="20"/>
      <c r="C77" s="8">
        <v>2</v>
      </c>
      <c r="D77" s="6"/>
      <c r="E77" s="6"/>
      <c r="F77" s="6"/>
      <c r="G77" s="6"/>
      <c r="H77" s="6"/>
      <c r="I77" s="6"/>
      <c r="J77" s="6"/>
      <c r="K77" s="5">
        <v>6</v>
      </c>
      <c r="L77" s="6"/>
      <c r="M77" s="6"/>
    </row>
    <row r="78" spans="1:13" ht="20.100000000000001" customHeight="1">
      <c r="A78" s="18"/>
      <c r="B78" s="20"/>
      <c r="C78" s="8">
        <v>2</v>
      </c>
      <c r="D78" s="6"/>
      <c r="E78" s="6"/>
      <c r="F78" s="6"/>
      <c r="G78" s="6"/>
      <c r="H78" s="6"/>
      <c r="I78" s="6"/>
      <c r="J78" s="6"/>
      <c r="K78" s="5">
        <v>6</v>
      </c>
      <c r="L78" s="6"/>
      <c r="M78" s="6"/>
    </row>
    <row r="79" spans="1:13" ht="20.100000000000001" customHeight="1">
      <c r="A79" s="18"/>
      <c r="B79" s="20"/>
      <c r="C79" s="8">
        <v>2</v>
      </c>
      <c r="D79" s="6"/>
      <c r="E79" s="6"/>
      <c r="F79" s="6"/>
      <c r="G79" s="6"/>
      <c r="H79" s="6"/>
      <c r="I79" s="6"/>
      <c r="J79" s="6"/>
      <c r="K79" s="5">
        <v>6</v>
      </c>
      <c r="L79" s="6"/>
      <c r="M79" s="6"/>
    </row>
    <row r="80" spans="1:13" ht="20.100000000000001" customHeight="1">
      <c r="A80" s="18"/>
      <c r="B80" s="20"/>
      <c r="C80" s="8">
        <v>3</v>
      </c>
      <c r="D80" s="6"/>
      <c r="E80" s="6"/>
      <c r="F80" s="6"/>
      <c r="G80" s="6"/>
      <c r="H80" s="6"/>
      <c r="I80" s="6"/>
      <c r="J80" s="6"/>
      <c r="K80" s="5">
        <v>7</v>
      </c>
      <c r="L80" s="6"/>
      <c r="M80" s="6"/>
    </row>
    <row r="81" spans="1:13" ht="20.100000000000001" customHeight="1">
      <c r="A81" s="18"/>
      <c r="B81" s="20"/>
      <c r="C81" s="8">
        <v>3</v>
      </c>
      <c r="D81" s="6"/>
      <c r="E81" s="6"/>
      <c r="F81" s="6"/>
      <c r="G81" s="6"/>
      <c r="H81" s="6"/>
      <c r="I81" s="6"/>
      <c r="J81" s="6"/>
      <c r="K81" s="5">
        <v>6</v>
      </c>
      <c r="L81" s="6"/>
      <c r="M81" s="6"/>
    </row>
    <row r="82" spans="1:13" ht="20.100000000000001" customHeight="1">
      <c r="A82" s="18"/>
      <c r="B82" s="20"/>
      <c r="C82" s="8">
        <v>2</v>
      </c>
      <c r="D82" s="6"/>
      <c r="E82" s="6"/>
      <c r="F82" s="6"/>
      <c r="G82" s="6"/>
      <c r="H82" s="6"/>
      <c r="I82" s="6"/>
      <c r="J82" s="6"/>
      <c r="K82" s="5">
        <v>9</v>
      </c>
      <c r="L82" s="6"/>
      <c r="M82" s="6"/>
    </row>
    <row r="83" spans="1:13" ht="20.100000000000001" customHeight="1">
      <c r="A83" s="18"/>
      <c r="B83" s="20"/>
      <c r="C83" s="8">
        <v>6</v>
      </c>
      <c r="D83" s="6"/>
      <c r="E83" s="6"/>
      <c r="F83" s="6"/>
      <c r="G83" s="6"/>
      <c r="H83" s="6"/>
      <c r="I83" s="6"/>
      <c r="J83" s="6"/>
      <c r="K83" s="5">
        <v>5</v>
      </c>
      <c r="L83" s="6"/>
      <c r="M83" s="6"/>
    </row>
    <row r="84" spans="1:13" ht="20.100000000000001" customHeight="1">
      <c r="A84" s="18"/>
      <c r="B84" s="20"/>
      <c r="C84" s="8">
        <v>2</v>
      </c>
      <c r="D84" s="6"/>
      <c r="E84" s="6"/>
      <c r="F84" s="6"/>
      <c r="G84" s="6"/>
      <c r="H84" s="6"/>
      <c r="I84" s="6"/>
      <c r="J84" s="6"/>
      <c r="K84" s="5">
        <v>5</v>
      </c>
      <c r="L84" s="6"/>
      <c r="M84" s="6"/>
    </row>
    <row r="85" spans="1:13" ht="20.100000000000001" customHeight="1">
      <c r="A85" s="18"/>
      <c r="B85" s="20"/>
      <c r="C85" s="8">
        <v>2</v>
      </c>
      <c r="D85" s="6"/>
      <c r="E85" s="6"/>
      <c r="F85" s="6"/>
      <c r="G85" s="6"/>
      <c r="H85" s="6"/>
      <c r="I85" s="6"/>
      <c r="J85" s="6"/>
      <c r="K85" s="5">
        <v>6</v>
      </c>
      <c r="L85" s="6"/>
      <c r="M85" s="6"/>
    </row>
    <row r="86" spans="1:13" ht="20.100000000000001" customHeight="1">
      <c r="A86" s="18"/>
      <c r="B86" s="20"/>
      <c r="C86" s="8">
        <v>2</v>
      </c>
      <c r="D86" s="6"/>
      <c r="E86" s="6"/>
      <c r="F86" s="6"/>
      <c r="G86" s="6"/>
      <c r="H86" s="6"/>
      <c r="I86" s="6"/>
      <c r="J86" s="6"/>
      <c r="K86" s="5">
        <v>6</v>
      </c>
      <c r="L86" s="6"/>
      <c r="M86" s="6"/>
    </row>
    <row r="87" spans="1:13" ht="20.100000000000001" customHeight="1">
      <c r="A87" s="18"/>
      <c r="B87" s="20"/>
      <c r="C87" s="8">
        <v>3</v>
      </c>
      <c r="D87" s="6"/>
      <c r="E87" s="6"/>
      <c r="F87" s="6"/>
      <c r="G87" s="6"/>
      <c r="H87" s="6"/>
      <c r="I87" s="6"/>
      <c r="J87" s="6"/>
      <c r="K87" s="5">
        <v>6</v>
      </c>
      <c r="L87" s="6"/>
      <c r="M87" s="6"/>
    </row>
    <row r="88" spans="1:13" ht="20.100000000000001" customHeight="1">
      <c r="A88" s="18"/>
      <c r="B88" s="20"/>
      <c r="C88" s="8">
        <v>2</v>
      </c>
      <c r="D88" s="6"/>
      <c r="E88" s="6"/>
      <c r="F88" s="6"/>
      <c r="G88" s="6"/>
      <c r="H88" s="6"/>
      <c r="I88" s="6"/>
      <c r="J88" s="6"/>
      <c r="K88" s="5">
        <v>6</v>
      </c>
      <c r="L88" s="6"/>
      <c r="M88" s="6"/>
    </row>
    <row r="89" spans="1:13" ht="20.100000000000001" customHeight="1">
      <c r="A89" s="18"/>
      <c r="B89" s="20"/>
      <c r="C89" s="8">
        <v>7</v>
      </c>
      <c r="D89" s="6"/>
      <c r="E89" s="6"/>
      <c r="F89" s="6"/>
      <c r="G89" s="6"/>
      <c r="H89" s="6"/>
      <c r="I89" s="6"/>
      <c r="J89" s="6"/>
      <c r="K89" s="5">
        <v>6</v>
      </c>
      <c r="L89" s="6"/>
      <c r="M89" s="6"/>
    </row>
    <row r="90" spans="1:13" ht="20.100000000000001" customHeight="1">
      <c r="A90" s="18"/>
      <c r="B90" s="20"/>
      <c r="C90" s="8">
        <v>3</v>
      </c>
      <c r="D90" s="6"/>
      <c r="E90" s="6"/>
      <c r="F90" s="6"/>
      <c r="G90" s="6"/>
      <c r="H90" s="6"/>
      <c r="I90" s="6"/>
      <c r="J90" s="6"/>
      <c r="K90" s="5">
        <v>4</v>
      </c>
      <c r="L90" s="6"/>
      <c r="M90" s="6"/>
    </row>
    <row r="91" spans="1:13" ht="20.100000000000001" customHeight="1">
      <c r="A91" s="18"/>
      <c r="B91" s="20"/>
      <c r="C91" s="8">
        <v>3</v>
      </c>
      <c r="D91" s="6"/>
      <c r="E91" s="6"/>
      <c r="F91" s="6"/>
      <c r="G91" s="6"/>
      <c r="H91" s="6"/>
      <c r="I91" s="6"/>
      <c r="J91" s="6"/>
      <c r="K91" s="5">
        <v>14</v>
      </c>
      <c r="L91" s="6"/>
      <c r="M91" s="6"/>
    </row>
    <row r="92" spans="1:13" ht="20.100000000000001" customHeight="1">
      <c r="A92" s="18"/>
      <c r="B92" s="20"/>
      <c r="C92" s="8">
        <v>2</v>
      </c>
      <c r="D92" s="6"/>
      <c r="E92" s="6"/>
      <c r="F92" s="6"/>
      <c r="G92" s="6"/>
      <c r="H92" s="6"/>
      <c r="I92" s="6"/>
      <c r="J92" s="6"/>
      <c r="K92" s="5">
        <v>6</v>
      </c>
      <c r="L92" s="6"/>
      <c r="M92" s="6"/>
    </row>
    <row r="93" spans="1:13" ht="20.100000000000001" customHeight="1">
      <c r="A93" s="18"/>
      <c r="B93" s="20"/>
      <c r="C93" s="8">
        <v>2</v>
      </c>
      <c r="D93" s="6"/>
      <c r="E93" s="6"/>
      <c r="F93" s="6"/>
      <c r="G93" s="6"/>
      <c r="H93" s="6"/>
      <c r="I93" s="6"/>
      <c r="J93" s="6"/>
      <c r="K93" s="5">
        <v>7</v>
      </c>
      <c r="L93" s="6"/>
      <c r="M93" s="6"/>
    </row>
    <row r="94" spans="1:13" ht="20.100000000000001" customHeight="1">
      <c r="A94" s="18"/>
      <c r="B94" s="20"/>
      <c r="C94" s="8">
        <v>2</v>
      </c>
      <c r="D94" s="6"/>
      <c r="E94" s="6"/>
      <c r="F94" s="6"/>
      <c r="G94" s="6"/>
      <c r="H94" s="6"/>
      <c r="I94" s="6"/>
      <c r="J94" s="6"/>
      <c r="K94" s="5">
        <v>3</v>
      </c>
      <c r="L94" s="6"/>
      <c r="M94" s="6"/>
    </row>
    <row r="95" spans="1:13" ht="20.100000000000001" customHeight="1">
      <c r="A95" s="18"/>
      <c r="B95" s="20"/>
      <c r="C95" s="8">
        <v>2</v>
      </c>
      <c r="D95" s="6"/>
      <c r="E95" s="6"/>
      <c r="F95" s="6"/>
      <c r="G95" s="6"/>
      <c r="H95" s="6"/>
      <c r="I95" s="6"/>
      <c r="J95" s="6"/>
      <c r="K95" s="5">
        <v>8</v>
      </c>
      <c r="L95" s="6"/>
      <c r="M95" s="6"/>
    </row>
    <row r="96" spans="1:13" ht="20.100000000000001" customHeight="1">
      <c r="A96" s="18"/>
      <c r="B96" s="20"/>
      <c r="C96" s="8">
        <v>3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ht="20.100000000000001" customHeight="1">
      <c r="A97" s="18"/>
      <c r="B97" s="20"/>
      <c r="C97" s="8">
        <v>2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ht="20.100000000000001" customHeight="1">
      <c r="A98" s="18"/>
      <c r="B98" s="20"/>
      <c r="C98" s="8">
        <v>2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ht="20.100000000000001" customHeight="1">
      <c r="A99" s="18"/>
      <c r="B99" s="20"/>
      <c r="C99" s="8">
        <v>8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ht="20.100000000000001" customHeight="1">
      <c r="A100" s="18"/>
      <c r="B100" s="20"/>
      <c r="C100" s="8">
        <v>2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ht="20.100000000000001" customHeight="1">
      <c r="A101" s="18"/>
      <c r="B101" s="20"/>
      <c r="C101" s="8">
        <v>3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ht="20.100000000000001" customHeight="1">
      <c r="A102" s="21" t="s">
        <v>9</v>
      </c>
      <c r="B102" s="19">
        <f>MEDIAN($B2:$B31)</f>
        <v>2</v>
      </c>
      <c r="C102" s="22">
        <f>MEDIAN(C2:C101)</f>
        <v>2</v>
      </c>
      <c r="D102" s="5">
        <f>MEDIAN(D2:D14)</f>
        <v>7</v>
      </c>
      <c r="E102" s="23">
        <v>11</v>
      </c>
      <c r="F102" s="23">
        <v>2</v>
      </c>
      <c r="G102" s="5">
        <f>MEDIAN(G2:G7)</f>
        <v>6</v>
      </c>
      <c r="H102" s="6"/>
      <c r="I102" s="5">
        <v>2</v>
      </c>
      <c r="J102" s="5">
        <f>MEDIAN(J2:J33)</f>
        <v>6</v>
      </c>
      <c r="K102" s="5">
        <f>MEDIAN(K2:K95)</f>
        <v>6</v>
      </c>
      <c r="L102" s="5">
        <f>MEDIAN(L2:L21)</f>
        <v>6</v>
      </c>
      <c r="M102" s="5">
        <f>MEDIAN(M2:M12)</f>
        <v>8</v>
      </c>
    </row>
    <row r="103" spans="1:13" ht="20.100000000000001" customHeight="1">
      <c r="A103" s="18" t="s">
        <v>10</v>
      </c>
      <c r="B103" s="20"/>
      <c r="C103" s="7"/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ht="20.100000000000001" customHeight="1">
      <c r="A104" s="18" t="s">
        <v>11</v>
      </c>
      <c r="B104" s="20"/>
      <c r="C104" s="7"/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ht="20.100000000000001" customHeight="1">
      <c r="A105" s="18"/>
      <c r="B105" s="20"/>
      <c r="C105" s="7"/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ht="20.100000000000001" customHeight="1">
      <c r="A106" s="18"/>
      <c r="B106" s="20"/>
      <c r="C106" s="7"/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ht="20.100000000000001" customHeight="1">
      <c r="A107" s="18"/>
      <c r="B107" s="20"/>
      <c r="C107" s="7"/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ht="20.100000000000001" customHeight="1">
      <c r="A108" s="18"/>
      <c r="B108" s="20"/>
      <c r="C108" s="7"/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ht="20.100000000000001" customHeight="1">
      <c r="A109" s="18"/>
      <c r="B109" s="20"/>
      <c r="C109" s="7"/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ht="20.100000000000001" customHeight="1">
      <c r="A110" s="18"/>
      <c r="B110" s="20"/>
      <c r="C110" s="7"/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ht="20.100000000000001" customHeight="1">
      <c r="A111" s="18"/>
      <c r="B111" s="20"/>
      <c r="C111" s="7"/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ht="20.100000000000001" customHeight="1">
      <c r="A112" s="18"/>
      <c r="B112" s="20"/>
      <c r="C112" s="7"/>
      <c r="D112" s="6"/>
      <c r="E112" s="6"/>
      <c r="F112" s="6"/>
      <c r="G112" s="6"/>
      <c r="H112" s="6"/>
      <c r="I112" s="6"/>
      <c r="J112" s="6"/>
      <c r="K112" s="6"/>
      <c r="L112" s="6"/>
      <c r="M112" s="6"/>
    </row>
    <row r="113" spans="1:13" ht="20.100000000000001" customHeight="1">
      <c r="A113" s="18"/>
      <c r="B113" s="20"/>
      <c r="C113" s="7"/>
      <c r="D113" s="6"/>
      <c r="E113" s="6"/>
      <c r="F113" s="6"/>
      <c r="G113" s="6"/>
      <c r="H113" s="6"/>
      <c r="I113" s="6"/>
      <c r="J113" s="6"/>
      <c r="K113" s="6"/>
      <c r="L113" s="6"/>
      <c r="M113" s="6"/>
    </row>
    <row r="114" spans="1:13" ht="20.100000000000001" customHeight="1">
      <c r="A114" s="18"/>
      <c r="B114" s="20"/>
      <c r="C114" s="7"/>
      <c r="D114" s="6"/>
      <c r="E114" s="6"/>
      <c r="F114" s="6"/>
      <c r="G114" s="6"/>
      <c r="H114" s="6"/>
      <c r="I114" s="6"/>
      <c r="J114" s="6"/>
      <c r="K114" s="6"/>
      <c r="L114" s="6"/>
      <c r="M114" s="6"/>
    </row>
    <row r="115" spans="1:13" ht="20.100000000000001" customHeight="1">
      <c r="A115" s="18"/>
      <c r="B115" s="20"/>
      <c r="C115" s="7"/>
      <c r="D115" s="6"/>
      <c r="E115" s="6"/>
      <c r="F115" s="6"/>
      <c r="G115" s="6"/>
      <c r="H115" s="6"/>
      <c r="I115" s="6"/>
      <c r="J115" s="6"/>
      <c r="K115" s="6"/>
      <c r="L115" s="6"/>
      <c r="M115" s="6"/>
    </row>
    <row r="116" spans="1:13" ht="20.100000000000001" customHeight="1">
      <c r="A116" s="18"/>
      <c r="B116" s="20"/>
      <c r="C116" s="7"/>
      <c r="D116" s="6"/>
      <c r="E116" s="6"/>
      <c r="F116" s="6"/>
      <c r="G116" s="6"/>
      <c r="H116" s="6"/>
      <c r="I116" s="6"/>
      <c r="J116" s="6"/>
      <c r="K116" s="6"/>
      <c r="L116" s="6"/>
      <c r="M116" s="6"/>
    </row>
    <row r="117" spans="1:13" ht="20.100000000000001" customHeight="1">
      <c r="A117" s="18"/>
      <c r="B117" s="20"/>
      <c r="C117" s="7"/>
      <c r="D117" s="6"/>
      <c r="E117" s="6"/>
      <c r="F117" s="6"/>
      <c r="G117" s="6"/>
      <c r="H117" s="6"/>
      <c r="I117" s="6"/>
      <c r="J117" s="6"/>
      <c r="K117" s="6"/>
      <c r="L117" s="6"/>
      <c r="M117" s="6"/>
    </row>
    <row r="118" spans="1:13" ht="20.100000000000001" customHeight="1">
      <c r="A118" s="18"/>
      <c r="B118" s="20"/>
      <c r="C118" s="7"/>
      <c r="D118" s="6"/>
      <c r="E118" s="6"/>
      <c r="F118" s="6"/>
      <c r="G118" s="6"/>
      <c r="H118" s="6"/>
      <c r="I118" s="6"/>
      <c r="J118" s="6"/>
      <c r="K118" s="6"/>
      <c r="L118" s="6"/>
      <c r="M118" s="6"/>
    </row>
  </sheetData>
  <pageMargins left="1" right="1" top="1" bottom="1" header="0.25" footer="0.25"/>
  <pageSetup orientation="portrait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 1</vt:lpstr>
      <vt:lpstr>Лист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Городков</dc:creator>
  <cp:lastModifiedBy>Viktor Vorobev</cp:lastModifiedBy>
  <dcterms:created xsi:type="dcterms:W3CDTF">2024-02-19T20:12:18Z</dcterms:created>
  <dcterms:modified xsi:type="dcterms:W3CDTF">2026-05-04T15:45:54Z</dcterms:modified>
</cp:coreProperties>
</file>